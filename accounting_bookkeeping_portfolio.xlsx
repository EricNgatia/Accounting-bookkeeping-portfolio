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Eric\Downloads\"/>
    </mc:Choice>
  </mc:AlternateContent>
  <xr:revisionPtr revIDLastSave="0" documentId="13_ncr:1_{776CB59D-55BA-4F51-AAE5-252B662B2FA7}" xr6:coauthVersionLast="47" xr6:coauthVersionMax="47" xr10:uidLastSave="{00000000-0000-0000-0000-000000000000}"/>
  <bookViews>
    <workbookView xWindow="-108" yWindow="-108" windowWidth="23256" windowHeight="13176" activeTab="5" xr2:uid="{00000000-000D-0000-FFFF-FFFF00000000}"/>
  </bookViews>
  <sheets>
    <sheet name="Dashboard" sheetId="1" r:id="rId1"/>
    <sheet name="Sales" sheetId="2" r:id="rId2"/>
    <sheet name="Collections" sheetId="3" r:id="rId3"/>
    <sheet name="Expenses" sheetId="4" r:id="rId4"/>
    <sheet name="Receivables" sheetId="5" r:id="rId5"/>
    <sheet name="Profit &amp; Loss" sheetId="6" r:id="rId6"/>
  </sheets>
  <definedNames>
    <definedName name="_xlnm._FilterDatabase" localSheetId="2" hidden="1">Collections!$A$1:$G$11</definedName>
    <definedName name="_xlnm._FilterDatabase" localSheetId="0" hidden="1">Dashboard!$A$1:$F$18</definedName>
    <definedName name="_xlnm._FilterDatabase" localSheetId="3" hidden="1">Expenses!$A$1:$H$11</definedName>
    <definedName name="_xlnm._FilterDatabase" localSheetId="5" hidden="1">'Profit &amp; Loss'!$A$1:$F$5</definedName>
    <definedName name="_xlnm._FilterDatabase" localSheetId="4" hidden="1">Receivables!$A$1:$G$11</definedName>
    <definedName name="_xlnm._FilterDatabase" localSheetId="1" hidden="1">Sales!$A$1:$G$11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5" i="6"/>
  <c r="D5" i="6" s="1"/>
  <c r="B5" i="6"/>
  <c r="E5" i="6" s="1"/>
  <c r="F5" i="6" s="1"/>
  <c r="C4" i="6"/>
  <c r="D4" i="6" s="1"/>
  <c r="B4" i="6"/>
  <c r="C3" i="6"/>
  <c r="D3" i="6" s="1"/>
  <c r="B3" i="6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F3" i="5"/>
  <c r="G3" i="5" s="1"/>
  <c r="I11" i="4"/>
  <c r="I10" i="4"/>
  <c r="I9" i="4"/>
  <c r="I8" i="4"/>
  <c r="I7" i="4"/>
  <c r="I6" i="4"/>
  <c r="I5" i="4"/>
  <c r="I4" i="4"/>
  <c r="I3" i="4"/>
  <c r="H11" i="2"/>
  <c r="H10" i="2"/>
  <c r="H9" i="2"/>
  <c r="H8" i="2"/>
  <c r="H7" i="2"/>
  <c r="H6" i="2"/>
  <c r="H5" i="2"/>
  <c r="H4" i="2"/>
  <c r="H3" i="2"/>
  <c r="B10" i="1"/>
  <c r="B8" i="1"/>
  <c r="B7" i="1"/>
  <c r="E3" i="6" l="1"/>
  <c r="F3" i="6" s="1"/>
  <c r="E4" i="6"/>
  <c r="F4" i="6" s="1"/>
  <c r="B9" i="1"/>
</calcChain>
</file>

<file path=xl/sharedStrings.xml><?xml version="1.0" encoding="utf-8"?>
<sst xmlns="http://schemas.openxmlformats.org/spreadsheetml/2006/main" count="228" uniqueCount="110">
  <si>
    <t>All figures and counterparties in this workbook are fictional and for demonstration only.</t>
  </si>
  <si>
    <t>Metric</t>
  </si>
  <si>
    <t>Sample Value</t>
  </si>
  <si>
    <t>Interpretation</t>
  </si>
  <si>
    <t>Total invoiced sales</t>
  </si>
  <si>
    <t>Total value of issued invoices</t>
  </si>
  <si>
    <t>Total collections</t>
  </si>
  <si>
    <t>Receipts recorded against invoices</t>
  </si>
  <si>
    <t>Total expenses</t>
  </si>
  <si>
    <t>Operating and cost-of-sales expenses</t>
  </si>
  <si>
    <t>Outstanding receivables</t>
  </si>
  <si>
    <t>Invoice balance less recorded receipts</t>
  </si>
  <si>
    <t>Net profit before tax</t>
  </si>
  <si>
    <t>Sales less all expenses</t>
  </si>
  <si>
    <t>Portfolio skills demonstrated</t>
  </si>
  <si>
    <t>• Accounts receivable tracking and aging</t>
  </si>
  <si>
    <t>• Cash receipt recording and invoice matching</t>
  </si>
  <si>
    <t>• Expense categorization and spend review</t>
  </si>
  <si>
    <t>• Monthly profit-and-loss reporting</t>
  </si>
  <si>
    <t>• Basic data validation and audit trail awareness</t>
  </si>
  <si>
    <t>SALES — FICTIONAL SAMPLE DATA</t>
  </si>
  <si>
    <t>Date</t>
  </si>
  <si>
    <t>Invoice_Ref</t>
  </si>
  <si>
    <t>Customer</t>
  </si>
  <si>
    <t>Salesperson</t>
  </si>
  <si>
    <t>Invoice_Amount</t>
  </si>
  <si>
    <t>Payment_Type</t>
  </si>
  <si>
    <t>Month</t>
  </si>
  <si>
    <t>INV-1001</t>
  </si>
  <si>
    <t>Northstar Retail</t>
  </si>
  <si>
    <t>Sales Rep A</t>
  </si>
  <si>
    <t>Credit</t>
  </si>
  <si>
    <t>2026-01</t>
  </si>
  <si>
    <t>INV-1002</t>
  </si>
  <si>
    <t>Maple Corner Shop</t>
  </si>
  <si>
    <t>Sales Rep B</t>
  </si>
  <si>
    <t>Bank Transfer</t>
  </si>
  <si>
    <t>INV-1003</t>
  </si>
  <si>
    <t>Harbor Market</t>
  </si>
  <si>
    <t>INV-1004</t>
  </si>
  <si>
    <t>Cedar &amp; Co.</t>
  </si>
  <si>
    <t>Sales Rep C</t>
  </si>
  <si>
    <t>Card</t>
  </si>
  <si>
    <t>2026-02</t>
  </si>
  <si>
    <t>INV-1005</t>
  </si>
  <si>
    <t>Brightway Stores</t>
  </si>
  <si>
    <t>INV-1006</t>
  </si>
  <si>
    <t>Cash</t>
  </si>
  <si>
    <t>INV-1007</t>
  </si>
  <si>
    <t>2026-03</t>
  </si>
  <si>
    <t>INV-1008</t>
  </si>
  <si>
    <t>INV-1009</t>
  </si>
  <si>
    <t>COLLECTIONS — FICTIONAL SAMPLE DATA</t>
  </si>
  <si>
    <t>Receipt_Date</t>
  </si>
  <si>
    <t>Receipt_Ref</t>
  </si>
  <si>
    <t>Amount</t>
  </si>
  <si>
    <t>Payment_Method</t>
  </si>
  <si>
    <t>RCPT-2001</t>
  </si>
  <si>
    <t>RCPT-2002</t>
  </si>
  <si>
    <t>RCPT-2003</t>
  </si>
  <si>
    <t>RCPT-2004</t>
  </si>
  <si>
    <t>RCPT-2005</t>
  </si>
  <si>
    <t>RCPT-2006</t>
  </si>
  <si>
    <t>RCPT-2007</t>
  </si>
  <si>
    <t>RCPT-2008</t>
  </si>
  <si>
    <t>RCPT-2009</t>
  </si>
  <si>
    <t>EXPENSES — FICTIONAL SAMPLE DATA</t>
  </si>
  <si>
    <t>Expense_Ref</t>
  </si>
  <si>
    <t>Category</t>
  </si>
  <si>
    <t>Vendor</t>
  </si>
  <si>
    <t>Description</t>
  </si>
  <si>
    <t>EXP-3001</t>
  </si>
  <si>
    <t>Rent</t>
  </si>
  <si>
    <t>Sample Property Ltd</t>
  </si>
  <si>
    <t>Office rent</t>
  </si>
  <si>
    <t>EXP-3002</t>
  </si>
  <si>
    <t>Utilities</t>
  </si>
  <si>
    <t>Utility Services</t>
  </si>
  <si>
    <t>Electricity and water</t>
  </si>
  <si>
    <t>EXP-3003</t>
  </si>
  <si>
    <t>Cost of Sales</t>
  </si>
  <si>
    <t>Sample Supplier</t>
  </si>
  <si>
    <t>Inventory purchase</t>
  </si>
  <si>
    <t>EXP-3004</t>
  </si>
  <si>
    <t>Transport</t>
  </si>
  <si>
    <t>City Logistics</t>
  </si>
  <si>
    <t>Delivery costs</t>
  </si>
  <si>
    <t>EXP-3005</t>
  </si>
  <si>
    <t>Salaries</t>
  </si>
  <si>
    <t>Payroll Services</t>
  </si>
  <si>
    <t>Monthly payroll</t>
  </si>
  <si>
    <t>EXP-3006</t>
  </si>
  <si>
    <t>EXP-3007</t>
  </si>
  <si>
    <t>Internet and utilities</t>
  </si>
  <si>
    <t>EXP-3008</t>
  </si>
  <si>
    <t>Office</t>
  </si>
  <si>
    <t>Office Supplies Co.</t>
  </si>
  <si>
    <t>Stationery</t>
  </si>
  <si>
    <t>EXP-3009</t>
  </si>
  <si>
    <t>ACCOUNTS RECEIVABLES &amp; AGING</t>
  </si>
  <si>
    <t>Invoice_Date</t>
  </si>
  <si>
    <t>Due_Date</t>
  </si>
  <si>
    <t>Collections</t>
  </si>
  <si>
    <t>Outstanding</t>
  </si>
  <si>
    <t>MONTHLY PROFIT &amp; LOSS SUMMARY</t>
  </si>
  <si>
    <t>Sales Revenue</t>
  </si>
  <si>
    <t>Operating Expenses</t>
  </si>
  <si>
    <t>Net Profit Before Tax</t>
  </si>
  <si>
    <t>Net Margin</t>
  </si>
  <si>
    <t>ACCOUNTING &amp; BOOKKEEPING 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</si>
</sst>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AED&quot;* #,##0.00_-;\-&quot;AED&quot;* #,##0.00_-;_-&quot;AED&quot;* &quot;-&quot;??_-;_-@_-"/>
    <numFmt numFmtId="166" formatCode="yyyy\-mm\-dd"/>
    <numFmt numFmtId="167" formatCode="0.0%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2"/>
      <color rgb="FF17365D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3" fillId="2" borderId="0" xfId="0" applyFont="1" applyFill="1"/>
    <xf numFmtId="166" fontId="0" fillId="0" borderId="0" xfId="0" applyNumberFormat="1" applyAlignment="1">
      <alignment vertical="top" wrapText="1"/>
    </xf>
    <xf numFmtId="167" fontId="0" fillId="0" borderId="0" xfId="0" applyNumberForma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2" borderId="0" xfId="0" applyFont="1" applyFill="1" applyAlignment="1">
      <alignment vertical="top" wrapText="1"/>
    </xf>
    <xf numFmtId="44" fontId="0" fillId="0" borderId="0" xfId="1" applyFont="1" applyAlignment="1">
      <alignment vertical="top" wrapText="1"/>
    </xf>
    <xf numFmtId="14" fontId="0" fillId="0" borderId="0" xfId="0" applyNumberFormat="1" applyAlignment="1">
      <alignment vertical="top" wrapText="1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pane ySplit="2" topLeftCell="A3" activePane="bottomLeft" state="frozen"/>
      <selection pane="bottomLeft" activeCell="C13" sqref="C13"/>
    </sheetView>
  </sheetViews>
  <sheetFormatPr defaultRowHeight="14.4" x14ac:dyDescent="0.3"/>
  <cols>
    <col min="1" max="1" width="28" customWidth="1"/>
    <col min="2" max="2" width="23" customWidth="1"/>
    <col min="3" max="3" width="28" customWidth="1"/>
    <col min="4" max="6" width="13" customWidth="1"/>
  </cols>
  <sheetData>
    <row r="1" spans="1:6" ht="30" customHeight="1" x14ac:dyDescent="0.3">
      <c r="A1" s="9" t="s">
        <v>109</v>
      </c>
      <c r="B1" s="8"/>
      <c r="C1" s="8"/>
      <c r="D1" s="8"/>
      <c r="E1" s="8"/>
      <c r="F1" s="8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7" t="s">
        <v>0</v>
      </c>
      <c r="B3" s="8"/>
      <c r="C3" s="8"/>
      <c r="D3" s="8"/>
      <c r="E3" s="8"/>
      <c r="F3" s="8"/>
    </row>
    <row r="4" spans="1:6" x14ac:dyDescent="0.3">
      <c r="A4" s="1"/>
      <c r="B4" s="1"/>
      <c r="C4" s="1"/>
      <c r="D4" s="1"/>
      <c r="E4" s="1"/>
      <c r="F4" s="1"/>
    </row>
    <row r="5" spans="1:6" x14ac:dyDescent="0.3">
      <c r="A5" s="2" t="s">
        <v>1</v>
      </c>
      <c r="B5" s="2" t="s">
        <v>2</v>
      </c>
      <c r="C5" s="2" t="s">
        <v>3</v>
      </c>
      <c r="D5" s="2"/>
      <c r="E5" s="2"/>
      <c r="F5" s="2"/>
    </row>
    <row r="6" spans="1:6" x14ac:dyDescent="0.3">
      <c r="A6" s="1" t="s">
        <v>4</v>
      </c>
      <c r="B6" s="10">
        <f>SUM(Sales!E:E)</f>
        <v>12055</v>
      </c>
      <c r="C6" s="1" t="s">
        <v>5</v>
      </c>
      <c r="D6" s="1"/>
      <c r="E6" s="1"/>
      <c r="F6" s="1"/>
    </row>
    <row r="7" spans="1:6" ht="28.8" x14ac:dyDescent="0.3">
      <c r="A7" s="1" t="s">
        <v>6</v>
      </c>
      <c r="B7" s="10">
        <f>SUM(Collections!E:E)</f>
        <v>6390</v>
      </c>
      <c r="C7" s="1" t="s">
        <v>7</v>
      </c>
      <c r="D7" s="1"/>
      <c r="E7" s="1"/>
      <c r="F7" s="1"/>
    </row>
    <row r="8" spans="1:6" ht="28.8" x14ac:dyDescent="0.3">
      <c r="A8" s="1" t="s">
        <v>8</v>
      </c>
      <c r="B8" s="10">
        <f>SUM(Expenses!F:F)</f>
        <v>4695</v>
      </c>
      <c r="C8" s="1" t="s">
        <v>9</v>
      </c>
      <c r="D8" s="1"/>
      <c r="E8" s="1"/>
      <c r="F8" s="1"/>
    </row>
    <row r="9" spans="1:6" ht="28.8" x14ac:dyDescent="0.3">
      <c r="A9" s="1" t="s">
        <v>10</v>
      </c>
      <c r="B9" s="10">
        <f>SUM(Receivables!G:G)</f>
        <v>5665</v>
      </c>
      <c r="C9" s="1" t="s">
        <v>11</v>
      </c>
      <c r="D9" s="1"/>
      <c r="E9" s="1"/>
      <c r="F9" s="1"/>
    </row>
    <row r="10" spans="1:6" x14ac:dyDescent="0.3">
      <c r="A10" s="1" t="s">
        <v>12</v>
      </c>
      <c r="B10" s="10">
        <f>'Profit &amp; Loss'!E6</f>
        <v>0</v>
      </c>
      <c r="C10" s="1" t="s">
        <v>13</v>
      </c>
      <c r="D10" s="1"/>
      <c r="E10" s="1"/>
      <c r="F10" s="1"/>
    </row>
    <row r="11" spans="1:6" x14ac:dyDescent="0.3">
      <c r="A11" s="1"/>
      <c r="B11" s="1"/>
      <c r="C11" s="1"/>
      <c r="D11" s="1"/>
      <c r="E11" s="1"/>
      <c r="F11" s="1"/>
    </row>
    <row r="12" spans="1:6" x14ac:dyDescent="0.3">
      <c r="A12" s="1"/>
      <c r="B12" s="1"/>
      <c r="C12" s="1"/>
      <c r="D12" s="1"/>
      <c r="E12" s="1"/>
      <c r="F12" s="1"/>
    </row>
    <row r="13" spans="1:6" ht="31.2" x14ac:dyDescent="0.3">
      <c r="A13" s="3" t="s">
        <v>14</v>
      </c>
      <c r="B13" s="1"/>
      <c r="C13" s="1"/>
      <c r="D13" s="1"/>
      <c r="E13" s="1"/>
      <c r="F13" s="1"/>
    </row>
    <row r="14" spans="1:6" ht="28.8" x14ac:dyDescent="0.3">
      <c r="A14" s="1" t="s">
        <v>15</v>
      </c>
      <c r="B14" s="1"/>
      <c r="C14" s="1"/>
      <c r="D14" s="1"/>
      <c r="E14" s="1"/>
      <c r="F14" s="1"/>
    </row>
    <row r="15" spans="1:6" ht="28.8" x14ac:dyDescent="0.3">
      <c r="A15" s="1" t="s">
        <v>16</v>
      </c>
      <c r="B15" s="1"/>
      <c r="C15" s="1"/>
      <c r="D15" s="1"/>
      <c r="E15" s="1"/>
      <c r="F15" s="1"/>
    </row>
    <row r="16" spans="1:6" ht="28.8" x14ac:dyDescent="0.3">
      <c r="A16" s="1" t="s">
        <v>17</v>
      </c>
      <c r="B16" s="1"/>
      <c r="C16" s="1"/>
      <c r="D16" s="1"/>
      <c r="E16" s="1"/>
      <c r="F16" s="1"/>
    </row>
    <row r="17" spans="1:6" ht="28.8" x14ac:dyDescent="0.3">
      <c r="A17" s="1" t="s">
        <v>18</v>
      </c>
      <c r="B17" s="1"/>
      <c r="C17" s="1"/>
      <c r="D17" s="1"/>
      <c r="E17" s="1"/>
      <c r="F17" s="1"/>
    </row>
    <row r="18" spans="1:6" ht="28.8" x14ac:dyDescent="0.3">
      <c r="A18" s="1" t="s">
        <v>19</v>
      </c>
      <c r="B18" s="1"/>
      <c r="C18" s="1"/>
      <c r="D18" s="1"/>
      <c r="E18" s="1"/>
      <c r="F18" s="1"/>
    </row>
  </sheetData>
  <autoFilter ref="A1:F18" xr:uid="{00000000-0009-0000-0000-000000000000}"/>
  <mergeCells count="2">
    <mergeCell ref="A3:F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workbookViewId="0">
      <pane ySplit="2" topLeftCell="A3" activePane="bottomLeft" state="frozen"/>
      <selection pane="bottomLeft" activeCell="D14" sqref="D14"/>
    </sheetView>
  </sheetViews>
  <sheetFormatPr defaultRowHeight="14.4" x14ac:dyDescent="0.3"/>
  <cols>
    <col min="1" max="1" width="11.44140625" customWidth="1"/>
    <col min="2" max="2" width="13" customWidth="1"/>
    <col min="3" max="3" width="19" customWidth="1"/>
    <col min="4" max="4" width="13" customWidth="1"/>
    <col min="5" max="5" width="16" customWidth="1"/>
    <col min="6" max="6" width="15" customWidth="1"/>
    <col min="7" max="7" width="13" customWidth="1"/>
    <col min="8" max="8" width="15" customWidth="1"/>
  </cols>
  <sheetData>
    <row r="1" spans="1:8" ht="30" customHeight="1" x14ac:dyDescent="0.3">
      <c r="A1" s="9" t="s">
        <v>20</v>
      </c>
      <c r="B1" s="8"/>
      <c r="C1" s="8"/>
      <c r="D1" s="8"/>
      <c r="E1" s="8"/>
      <c r="F1" s="8"/>
      <c r="G1" s="8"/>
    </row>
    <row r="2" spans="1:8" x14ac:dyDescent="0.3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  <c r="H2" s="4" t="s">
        <v>27</v>
      </c>
    </row>
    <row r="3" spans="1:8" x14ac:dyDescent="0.3">
      <c r="A3" s="11">
        <v>46027</v>
      </c>
      <c r="B3" s="1" t="s">
        <v>28</v>
      </c>
      <c r="C3" s="1" t="s">
        <v>29</v>
      </c>
      <c r="D3" s="1" t="s">
        <v>30</v>
      </c>
      <c r="E3" s="10">
        <v>1250</v>
      </c>
      <c r="F3" s="1" t="s">
        <v>31</v>
      </c>
      <c r="G3" s="1" t="s">
        <v>32</v>
      </c>
      <c r="H3" t="str">
        <f t="shared" ref="H3:H11" si="0">TEXT(A3,"yyyy-mm")</f>
        <v>2026-01</v>
      </c>
    </row>
    <row r="4" spans="1:8" x14ac:dyDescent="0.3">
      <c r="A4" s="11">
        <v>46030</v>
      </c>
      <c r="B4" s="1" t="s">
        <v>33</v>
      </c>
      <c r="C4" s="1" t="s">
        <v>34</v>
      </c>
      <c r="D4" s="1" t="s">
        <v>35</v>
      </c>
      <c r="E4" s="10">
        <v>890</v>
      </c>
      <c r="F4" s="1" t="s">
        <v>36</v>
      </c>
      <c r="G4" s="1" t="s">
        <v>32</v>
      </c>
      <c r="H4" t="str">
        <f t="shared" si="0"/>
        <v>2026-01</v>
      </c>
    </row>
    <row r="5" spans="1:8" x14ac:dyDescent="0.3">
      <c r="A5" s="11">
        <v>46036</v>
      </c>
      <c r="B5" s="1" t="s">
        <v>37</v>
      </c>
      <c r="C5" s="1" t="s">
        <v>38</v>
      </c>
      <c r="D5" s="1" t="s">
        <v>30</v>
      </c>
      <c r="E5" s="10">
        <v>1640</v>
      </c>
      <c r="F5" s="1" t="s">
        <v>31</v>
      </c>
      <c r="G5" s="1" t="s">
        <v>32</v>
      </c>
      <c r="H5" t="str">
        <f t="shared" si="0"/>
        <v>2026-01</v>
      </c>
    </row>
    <row r="6" spans="1:8" x14ac:dyDescent="0.3">
      <c r="A6" s="11">
        <v>46055</v>
      </c>
      <c r="B6" s="1" t="s">
        <v>39</v>
      </c>
      <c r="C6" s="1" t="s">
        <v>40</v>
      </c>
      <c r="D6" s="1" t="s">
        <v>41</v>
      </c>
      <c r="E6" s="10">
        <v>1120</v>
      </c>
      <c r="F6" s="1" t="s">
        <v>42</v>
      </c>
      <c r="G6" s="1" t="s">
        <v>43</v>
      </c>
      <c r="H6" t="str">
        <f t="shared" si="0"/>
        <v>2026-02</v>
      </c>
    </row>
    <row r="7" spans="1:8" x14ac:dyDescent="0.3">
      <c r="A7" s="11">
        <v>46063</v>
      </c>
      <c r="B7" s="1" t="s">
        <v>44</v>
      </c>
      <c r="C7" s="1" t="s">
        <v>45</v>
      </c>
      <c r="D7" s="1" t="s">
        <v>35</v>
      </c>
      <c r="E7" s="10">
        <v>2150</v>
      </c>
      <c r="F7" s="1" t="s">
        <v>31</v>
      </c>
      <c r="G7" s="1" t="s">
        <v>43</v>
      </c>
      <c r="H7" t="str">
        <f t="shared" si="0"/>
        <v>2026-02</v>
      </c>
    </row>
    <row r="8" spans="1:8" x14ac:dyDescent="0.3">
      <c r="A8" s="11">
        <v>46071</v>
      </c>
      <c r="B8" s="1" t="s">
        <v>46</v>
      </c>
      <c r="C8" s="1" t="s">
        <v>29</v>
      </c>
      <c r="D8" s="1" t="s">
        <v>30</v>
      </c>
      <c r="E8" s="10">
        <v>760</v>
      </c>
      <c r="F8" s="1" t="s">
        <v>47</v>
      </c>
      <c r="G8" s="1" t="s">
        <v>43</v>
      </c>
      <c r="H8" t="str">
        <f t="shared" si="0"/>
        <v>2026-02</v>
      </c>
    </row>
    <row r="9" spans="1:8" x14ac:dyDescent="0.3">
      <c r="A9" s="11">
        <v>46084</v>
      </c>
      <c r="B9" s="1" t="s">
        <v>48</v>
      </c>
      <c r="C9" s="1" t="s">
        <v>34</v>
      </c>
      <c r="D9" s="1" t="s">
        <v>41</v>
      </c>
      <c r="E9" s="10">
        <v>1390</v>
      </c>
      <c r="F9" s="1" t="s">
        <v>31</v>
      </c>
      <c r="G9" s="1" t="s">
        <v>49</v>
      </c>
      <c r="H9" t="str">
        <f t="shared" si="0"/>
        <v>2026-03</v>
      </c>
    </row>
    <row r="10" spans="1:8" x14ac:dyDescent="0.3">
      <c r="A10" s="11">
        <v>46093</v>
      </c>
      <c r="B10" s="1" t="s">
        <v>50</v>
      </c>
      <c r="C10" s="1" t="s">
        <v>38</v>
      </c>
      <c r="D10" s="1" t="s">
        <v>35</v>
      </c>
      <c r="E10" s="10">
        <v>980</v>
      </c>
      <c r="F10" s="1" t="s">
        <v>36</v>
      </c>
      <c r="G10" s="1" t="s">
        <v>49</v>
      </c>
      <c r="H10" t="str">
        <f t="shared" si="0"/>
        <v>2026-03</v>
      </c>
    </row>
    <row r="11" spans="1:8" x14ac:dyDescent="0.3">
      <c r="A11" s="11">
        <v>46101</v>
      </c>
      <c r="B11" s="1" t="s">
        <v>51</v>
      </c>
      <c r="C11" s="1" t="s">
        <v>40</v>
      </c>
      <c r="D11" s="1" t="s">
        <v>30</v>
      </c>
      <c r="E11" s="10">
        <v>1875</v>
      </c>
      <c r="F11" s="1" t="s">
        <v>31</v>
      </c>
      <c r="G11" s="1" t="s">
        <v>49</v>
      </c>
      <c r="H11" t="str">
        <f t="shared" si="0"/>
        <v>2026-03</v>
      </c>
    </row>
  </sheetData>
  <autoFilter ref="A1:G11" xr:uid="{00000000-0009-0000-0000-000001000000}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pane ySplit="2" topLeftCell="A3" activePane="bottomLeft" state="frozen"/>
      <selection pane="bottomLeft" activeCell="D14" sqref="D14"/>
    </sheetView>
  </sheetViews>
  <sheetFormatPr defaultRowHeight="14.4" x14ac:dyDescent="0.3"/>
  <cols>
    <col min="1" max="1" width="28" customWidth="1"/>
    <col min="2" max="3" width="13" customWidth="1"/>
    <col min="4" max="4" width="19" customWidth="1"/>
    <col min="5" max="5" width="13" customWidth="1"/>
    <col min="6" max="6" width="16" customWidth="1"/>
    <col min="7" max="7" width="13" customWidth="1"/>
  </cols>
  <sheetData>
    <row r="1" spans="1:7" ht="30" customHeight="1" x14ac:dyDescent="0.3">
      <c r="A1" s="9" t="s">
        <v>52</v>
      </c>
      <c r="B1" s="8"/>
      <c r="C1" s="8"/>
      <c r="D1" s="8"/>
      <c r="E1" s="8"/>
      <c r="F1" s="8"/>
      <c r="G1" s="8"/>
    </row>
    <row r="2" spans="1:7" ht="28.8" x14ac:dyDescent="0.3">
      <c r="A2" s="2" t="s">
        <v>53</v>
      </c>
      <c r="B2" s="2" t="s">
        <v>54</v>
      </c>
      <c r="C2" s="2" t="s">
        <v>22</v>
      </c>
      <c r="D2" s="2" t="s">
        <v>23</v>
      </c>
      <c r="E2" s="2" t="s">
        <v>55</v>
      </c>
      <c r="F2" s="2" t="s">
        <v>56</v>
      </c>
      <c r="G2" s="2" t="s">
        <v>27</v>
      </c>
    </row>
    <row r="3" spans="1:7" x14ac:dyDescent="0.3">
      <c r="A3" s="11">
        <v>46032</v>
      </c>
      <c r="B3" s="1" t="s">
        <v>57</v>
      </c>
      <c r="C3" s="1" t="s">
        <v>28</v>
      </c>
      <c r="D3" s="1" t="s">
        <v>29</v>
      </c>
      <c r="E3" s="10">
        <v>500</v>
      </c>
      <c r="F3" s="1" t="s">
        <v>36</v>
      </c>
      <c r="G3" s="1" t="s">
        <v>32</v>
      </c>
    </row>
    <row r="4" spans="1:7" x14ac:dyDescent="0.3">
      <c r="A4" s="11">
        <v>46038</v>
      </c>
      <c r="B4" s="1" t="s">
        <v>58</v>
      </c>
      <c r="C4" s="1" t="s">
        <v>33</v>
      </c>
      <c r="D4" s="1" t="s">
        <v>34</v>
      </c>
      <c r="E4" s="10">
        <v>890</v>
      </c>
      <c r="F4" s="1" t="s">
        <v>36</v>
      </c>
      <c r="G4" s="1" t="s">
        <v>32</v>
      </c>
    </row>
    <row r="5" spans="1:7" x14ac:dyDescent="0.3">
      <c r="A5" s="11">
        <v>46047</v>
      </c>
      <c r="B5" s="1" t="s">
        <v>59</v>
      </c>
      <c r="C5" s="1" t="s">
        <v>37</v>
      </c>
      <c r="D5" s="1" t="s">
        <v>38</v>
      </c>
      <c r="E5" s="10">
        <v>400</v>
      </c>
      <c r="F5" s="1" t="s">
        <v>47</v>
      </c>
      <c r="G5" s="1" t="s">
        <v>32</v>
      </c>
    </row>
    <row r="6" spans="1:7" x14ac:dyDescent="0.3">
      <c r="A6" s="11">
        <v>46058</v>
      </c>
      <c r="B6" s="1" t="s">
        <v>60</v>
      </c>
      <c r="C6" s="1" t="s">
        <v>39</v>
      </c>
      <c r="D6" s="1" t="s">
        <v>40</v>
      </c>
      <c r="E6" s="10">
        <v>1120</v>
      </c>
      <c r="F6" s="1" t="s">
        <v>42</v>
      </c>
      <c r="G6" s="1" t="s">
        <v>43</v>
      </c>
    </row>
    <row r="7" spans="1:7" x14ac:dyDescent="0.3">
      <c r="A7" s="11">
        <v>46069</v>
      </c>
      <c r="B7" s="1" t="s">
        <v>61</v>
      </c>
      <c r="C7" s="1" t="s">
        <v>44</v>
      </c>
      <c r="D7" s="1" t="s">
        <v>45</v>
      </c>
      <c r="E7" s="10">
        <v>1000</v>
      </c>
      <c r="F7" s="1" t="s">
        <v>36</v>
      </c>
      <c r="G7" s="1" t="s">
        <v>43</v>
      </c>
    </row>
    <row r="8" spans="1:7" x14ac:dyDescent="0.3">
      <c r="A8" s="11">
        <v>46075</v>
      </c>
      <c r="B8" s="1" t="s">
        <v>62</v>
      </c>
      <c r="C8" s="1" t="s">
        <v>28</v>
      </c>
      <c r="D8" s="1" t="s">
        <v>29</v>
      </c>
      <c r="E8" s="10">
        <v>300</v>
      </c>
      <c r="F8" s="1" t="s">
        <v>36</v>
      </c>
      <c r="G8" s="1" t="s">
        <v>43</v>
      </c>
    </row>
    <row r="9" spans="1:7" x14ac:dyDescent="0.3">
      <c r="A9" s="11">
        <v>46091</v>
      </c>
      <c r="B9" s="1" t="s">
        <v>63</v>
      </c>
      <c r="C9" s="1" t="s">
        <v>48</v>
      </c>
      <c r="D9" s="1" t="s">
        <v>34</v>
      </c>
      <c r="E9" s="10">
        <v>700</v>
      </c>
      <c r="F9" s="1" t="s">
        <v>36</v>
      </c>
      <c r="G9" s="1" t="s">
        <v>49</v>
      </c>
    </row>
    <row r="10" spans="1:7" x14ac:dyDescent="0.3">
      <c r="A10" s="11">
        <v>46096</v>
      </c>
      <c r="B10" s="1" t="s">
        <v>64</v>
      </c>
      <c r="C10" s="1" t="s">
        <v>50</v>
      </c>
      <c r="D10" s="1" t="s">
        <v>38</v>
      </c>
      <c r="E10" s="10">
        <v>980</v>
      </c>
      <c r="F10" s="1" t="s">
        <v>36</v>
      </c>
      <c r="G10" s="1" t="s">
        <v>49</v>
      </c>
    </row>
    <row r="11" spans="1:7" x14ac:dyDescent="0.3">
      <c r="A11" s="11">
        <v>46106</v>
      </c>
      <c r="B11" s="1" t="s">
        <v>65</v>
      </c>
      <c r="C11" s="1" t="s">
        <v>51</v>
      </c>
      <c r="D11" s="1" t="s">
        <v>40</v>
      </c>
      <c r="E11" s="10">
        <v>500</v>
      </c>
      <c r="F11" s="1" t="s">
        <v>47</v>
      </c>
      <c r="G11" s="1" t="s">
        <v>49</v>
      </c>
    </row>
  </sheetData>
  <autoFilter ref="A1:G11" xr:uid="{00000000-0009-0000-0000-000002000000}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workbookViewId="0">
      <pane ySplit="2" topLeftCell="A3" activePane="bottomLeft" state="frozen"/>
      <selection pane="bottomLeft" activeCell="A3" sqref="A3:A11"/>
    </sheetView>
  </sheetViews>
  <sheetFormatPr defaultRowHeight="14.4" x14ac:dyDescent="0.3"/>
  <cols>
    <col min="1" max="1" width="28" customWidth="1"/>
    <col min="2" max="2" width="13" customWidth="1"/>
    <col min="3" max="3" width="15" customWidth="1"/>
    <col min="4" max="4" width="21" customWidth="1"/>
    <col min="5" max="5" width="24" customWidth="1"/>
    <col min="6" max="6" width="13" customWidth="1"/>
    <col min="7" max="7" width="16" customWidth="1"/>
    <col min="8" max="8" width="13" customWidth="1"/>
    <col min="9" max="9" width="15" customWidth="1"/>
  </cols>
  <sheetData>
    <row r="1" spans="1:9" ht="30" customHeight="1" x14ac:dyDescent="0.3">
      <c r="A1" s="9" t="s">
        <v>66</v>
      </c>
      <c r="B1" s="8"/>
      <c r="C1" s="8"/>
      <c r="D1" s="8"/>
      <c r="E1" s="8"/>
      <c r="F1" s="8"/>
      <c r="G1" s="8"/>
      <c r="H1" s="8"/>
    </row>
    <row r="2" spans="1:9" ht="28.8" x14ac:dyDescent="0.3">
      <c r="A2" s="2" t="s">
        <v>21</v>
      </c>
      <c r="B2" s="2" t="s">
        <v>67</v>
      </c>
      <c r="C2" s="2" t="s">
        <v>68</v>
      </c>
      <c r="D2" s="2" t="s">
        <v>69</v>
      </c>
      <c r="E2" s="2" t="s">
        <v>70</v>
      </c>
      <c r="F2" s="2" t="s">
        <v>55</v>
      </c>
      <c r="G2" s="2" t="s">
        <v>56</v>
      </c>
      <c r="H2" s="2" t="s">
        <v>27</v>
      </c>
      <c r="I2" s="4" t="s">
        <v>27</v>
      </c>
    </row>
    <row r="3" spans="1:9" x14ac:dyDescent="0.3">
      <c r="A3" s="11">
        <v>46028</v>
      </c>
      <c r="B3" s="1" t="s">
        <v>71</v>
      </c>
      <c r="C3" s="1" t="s">
        <v>72</v>
      </c>
      <c r="D3" s="1" t="s">
        <v>73</v>
      </c>
      <c r="E3" s="1" t="s">
        <v>74</v>
      </c>
      <c r="F3" s="10">
        <v>650</v>
      </c>
      <c r="G3" s="1" t="s">
        <v>36</v>
      </c>
      <c r="H3" s="1" t="s">
        <v>32</v>
      </c>
      <c r="I3" t="str">
        <f t="shared" ref="I3:I11" si="0">TEXT(A3,"yyyy-mm")</f>
        <v>2026-01</v>
      </c>
    </row>
    <row r="4" spans="1:9" x14ac:dyDescent="0.3">
      <c r="A4" s="11">
        <v>46031</v>
      </c>
      <c r="B4" s="1" t="s">
        <v>75</v>
      </c>
      <c r="C4" s="1" t="s">
        <v>76</v>
      </c>
      <c r="D4" s="1" t="s">
        <v>77</v>
      </c>
      <c r="E4" s="1" t="s">
        <v>78</v>
      </c>
      <c r="F4" s="10">
        <v>115</v>
      </c>
      <c r="G4" s="1" t="s">
        <v>36</v>
      </c>
      <c r="H4" s="1" t="s">
        <v>32</v>
      </c>
      <c r="I4" t="str">
        <f t="shared" si="0"/>
        <v>2026-01</v>
      </c>
    </row>
    <row r="5" spans="1:9" x14ac:dyDescent="0.3">
      <c r="A5" s="11">
        <v>46037</v>
      </c>
      <c r="B5" s="1" t="s">
        <v>79</v>
      </c>
      <c r="C5" s="1" t="s">
        <v>80</v>
      </c>
      <c r="D5" s="1" t="s">
        <v>81</v>
      </c>
      <c r="E5" s="1" t="s">
        <v>82</v>
      </c>
      <c r="F5" s="10">
        <v>720</v>
      </c>
      <c r="G5" s="1" t="s">
        <v>36</v>
      </c>
      <c r="H5" s="1" t="s">
        <v>32</v>
      </c>
      <c r="I5" t="str">
        <f t="shared" si="0"/>
        <v>2026-01</v>
      </c>
    </row>
    <row r="6" spans="1:9" x14ac:dyDescent="0.3">
      <c r="A6" s="11">
        <v>46057</v>
      </c>
      <c r="B6" s="1" t="s">
        <v>83</v>
      </c>
      <c r="C6" s="1" t="s">
        <v>84</v>
      </c>
      <c r="D6" s="1" t="s">
        <v>85</v>
      </c>
      <c r="E6" s="1" t="s">
        <v>86</v>
      </c>
      <c r="F6" s="10">
        <v>145</v>
      </c>
      <c r="G6" s="1" t="s">
        <v>42</v>
      </c>
      <c r="H6" s="1" t="s">
        <v>43</v>
      </c>
      <c r="I6" t="str">
        <f t="shared" si="0"/>
        <v>2026-02</v>
      </c>
    </row>
    <row r="7" spans="1:9" x14ac:dyDescent="0.3">
      <c r="A7" s="11">
        <v>46064</v>
      </c>
      <c r="B7" s="1" t="s">
        <v>87</v>
      </c>
      <c r="C7" s="1" t="s">
        <v>88</v>
      </c>
      <c r="D7" s="1" t="s">
        <v>89</v>
      </c>
      <c r="E7" s="1" t="s">
        <v>90</v>
      </c>
      <c r="F7" s="10">
        <v>950</v>
      </c>
      <c r="G7" s="1" t="s">
        <v>36</v>
      </c>
      <c r="H7" s="1" t="s">
        <v>43</v>
      </c>
      <c r="I7" t="str">
        <f t="shared" si="0"/>
        <v>2026-02</v>
      </c>
    </row>
    <row r="8" spans="1:9" x14ac:dyDescent="0.3">
      <c r="A8" s="11">
        <v>46072</v>
      </c>
      <c r="B8" s="1" t="s">
        <v>91</v>
      </c>
      <c r="C8" s="1" t="s">
        <v>80</v>
      </c>
      <c r="D8" s="1" t="s">
        <v>81</v>
      </c>
      <c r="E8" s="1" t="s">
        <v>82</v>
      </c>
      <c r="F8" s="10">
        <v>880</v>
      </c>
      <c r="G8" s="1" t="s">
        <v>36</v>
      </c>
      <c r="H8" s="1" t="s">
        <v>43</v>
      </c>
      <c r="I8" t="str">
        <f t="shared" si="0"/>
        <v>2026-02</v>
      </c>
    </row>
    <row r="9" spans="1:9" x14ac:dyDescent="0.3">
      <c r="A9" s="11">
        <v>46086</v>
      </c>
      <c r="B9" s="1" t="s">
        <v>92</v>
      </c>
      <c r="C9" s="1" t="s">
        <v>76</v>
      </c>
      <c r="D9" s="1" t="s">
        <v>77</v>
      </c>
      <c r="E9" s="1" t="s">
        <v>93</v>
      </c>
      <c r="F9" s="10">
        <v>130</v>
      </c>
      <c r="G9" s="1" t="s">
        <v>36</v>
      </c>
      <c r="H9" s="1" t="s">
        <v>49</v>
      </c>
      <c r="I9" t="str">
        <f t="shared" si="0"/>
        <v>2026-03</v>
      </c>
    </row>
    <row r="10" spans="1:9" x14ac:dyDescent="0.3">
      <c r="A10" s="11">
        <v>46094</v>
      </c>
      <c r="B10" s="1" t="s">
        <v>94</v>
      </c>
      <c r="C10" s="1" t="s">
        <v>95</v>
      </c>
      <c r="D10" s="1" t="s">
        <v>96</v>
      </c>
      <c r="E10" s="1" t="s">
        <v>97</v>
      </c>
      <c r="F10" s="10">
        <v>85</v>
      </c>
      <c r="G10" s="1" t="s">
        <v>42</v>
      </c>
      <c r="H10" s="1" t="s">
        <v>49</v>
      </c>
      <c r="I10" t="str">
        <f t="shared" si="0"/>
        <v>2026-03</v>
      </c>
    </row>
    <row r="11" spans="1:9" x14ac:dyDescent="0.3">
      <c r="A11" s="11">
        <v>46102</v>
      </c>
      <c r="B11" s="1" t="s">
        <v>98</v>
      </c>
      <c r="C11" s="1" t="s">
        <v>80</v>
      </c>
      <c r="D11" s="1" t="s">
        <v>81</v>
      </c>
      <c r="E11" s="1" t="s">
        <v>82</v>
      </c>
      <c r="F11" s="10">
        <v>1020</v>
      </c>
      <c r="G11" s="1" t="s">
        <v>36</v>
      </c>
      <c r="H11" s="1" t="s">
        <v>49</v>
      </c>
      <c r="I11" t="str">
        <f t="shared" si="0"/>
        <v>2026-03</v>
      </c>
    </row>
  </sheetData>
  <autoFilter ref="A1:H11" xr:uid="{00000000-0009-0000-0000-000003000000}"/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workbookViewId="0">
      <pane ySplit="2" topLeftCell="A3" activePane="bottomLeft" state="frozen"/>
      <selection pane="bottomLeft" activeCell="F3" sqref="F3:G11"/>
    </sheetView>
  </sheetViews>
  <sheetFormatPr defaultRowHeight="14.4" x14ac:dyDescent="0.3"/>
  <cols>
    <col min="1" max="1" width="28" customWidth="1"/>
    <col min="2" max="2" width="13" customWidth="1"/>
    <col min="3" max="4" width="21" customWidth="1"/>
    <col min="5" max="5" width="16" customWidth="1"/>
    <col min="6" max="6" width="28" customWidth="1"/>
    <col min="7" max="7" width="17" customWidth="1"/>
  </cols>
  <sheetData>
    <row r="1" spans="1:7" ht="30" customHeight="1" x14ac:dyDescent="0.3">
      <c r="A1" s="9" t="s">
        <v>99</v>
      </c>
      <c r="B1" s="8"/>
      <c r="C1" s="8"/>
      <c r="D1" s="8"/>
      <c r="E1" s="8"/>
      <c r="F1" s="8"/>
      <c r="G1" s="8"/>
    </row>
    <row r="2" spans="1:7" x14ac:dyDescent="0.3">
      <c r="A2" s="2" t="s">
        <v>23</v>
      </c>
      <c r="B2" s="2" t="s">
        <v>22</v>
      </c>
      <c r="C2" s="2" t="s">
        <v>100</v>
      </c>
      <c r="D2" s="2" t="s">
        <v>101</v>
      </c>
      <c r="E2" s="2" t="s">
        <v>25</v>
      </c>
      <c r="F2" s="2" t="s">
        <v>102</v>
      </c>
      <c r="G2" s="2" t="s">
        <v>103</v>
      </c>
    </row>
    <row r="3" spans="1:7" x14ac:dyDescent="0.3">
      <c r="A3" s="1" t="s">
        <v>29</v>
      </c>
      <c r="B3" s="1" t="s">
        <v>28</v>
      </c>
      <c r="C3" s="5">
        <v>46027</v>
      </c>
      <c r="D3" s="5">
        <v>46057</v>
      </c>
      <c r="E3" s="10">
        <v>1250</v>
      </c>
      <c r="F3" s="10">
        <f>SUMIF(Collections!C:C,B3,Collections!E:E)</f>
        <v>800</v>
      </c>
      <c r="G3" s="10">
        <f t="shared" ref="G3:G11" si="0">MAX(0,E3-F3)</f>
        <v>450</v>
      </c>
    </row>
    <row r="4" spans="1:7" x14ac:dyDescent="0.3">
      <c r="A4" s="1" t="s">
        <v>34</v>
      </c>
      <c r="B4" s="1" t="s">
        <v>33</v>
      </c>
      <c r="C4" s="5">
        <v>46030</v>
      </c>
      <c r="D4" s="5">
        <v>46060</v>
      </c>
      <c r="E4" s="10">
        <v>890</v>
      </c>
      <c r="F4" s="10">
        <f>SUMIF(Collections!C:C,B4,Collections!E:E)</f>
        <v>890</v>
      </c>
      <c r="G4" s="10">
        <f t="shared" si="0"/>
        <v>0</v>
      </c>
    </row>
    <row r="5" spans="1:7" x14ac:dyDescent="0.3">
      <c r="A5" s="1" t="s">
        <v>38</v>
      </c>
      <c r="B5" s="1" t="s">
        <v>37</v>
      </c>
      <c r="C5" s="5">
        <v>46036</v>
      </c>
      <c r="D5" s="5">
        <v>46066</v>
      </c>
      <c r="E5" s="10">
        <v>1640</v>
      </c>
      <c r="F5" s="10">
        <f>SUMIF(Collections!C:C,B5,Collections!E:E)</f>
        <v>400</v>
      </c>
      <c r="G5" s="10">
        <f t="shared" si="0"/>
        <v>1240</v>
      </c>
    </row>
    <row r="6" spans="1:7" x14ac:dyDescent="0.3">
      <c r="A6" s="1" t="s">
        <v>40</v>
      </c>
      <c r="B6" s="1" t="s">
        <v>39</v>
      </c>
      <c r="C6" s="5">
        <v>46055</v>
      </c>
      <c r="D6" s="5">
        <v>46085</v>
      </c>
      <c r="E6" s="10">
        <v>1120</v>
      </c>
      <c r="F6" s="10">
        <f>SUMIF(Collections!C:C,B6,Collections!E:E)</f>
        <v>1120</v>
      </c>
      <c r="G6" s="10">
        <f t="shared" si="0"/>
        <v>0</v>
      </c>
    </row>
    <row r="7" spans="1:7" x14ac:dyDescent="0.3">
      <c r="A7" s="1" t="s">
        <v>45</v>
      </c>
      <c r="B7" s="1" t="s">
        <v>44</v>
      </c>
      <c r="C7" s="5">
        <v>46063</v>
      </c>
      <c r="D7" s="5">
        <v>46093</v>
      </c>
      <c r="E7" s="10">
        <v>2150</v>
      </c>
      <c r="F7" s="10">
        <f>SUMIF(Collections!C:C,B7,Collections!E:E)</f>
        <v>1000</v>
      </c>
      <c r="G7" s="10">
        <f t="shared" si="0"/>
        <v>1150</v>
      </c>
    </row>
    <row r="8" spans="1:7" x14ac:dyDescent="0.3">
      <c r="A8" s="1" t="s">
        <v>29</v>
      </c>
      <c r="B8" s="1" t="s">
        <v>46</v>
      </c>
      <c r="C8" s="5">
        <v>46071</v>
      </c>
      <c r="D8" s="5">
        <v>46101</v>
      </c>
      <c r="E8" s="10">
        <v>760</v>
      </c>
      <c r="F8" s="10">
        <f>SUMIF(Collections!C:C,B8,Collections!E:E)</f>
        <v>0</v>
      </c>
      <c r="G8" s="10">
        <f t="shared" si="0"/>
        <v>760</v>
      </c>
    </row>
    <row r="9" spans="1:7" x14ac:dyDescent="0.3">
      <c r="A9" s="1" t="s">
        <v>34</v>
      </c>
      <c r="B9" s="1" t="s">
        <v>48</v>
      </c>
      <c r="C9" s="5">
        <v>46084</v>
      </c>
      <c r="D9" s="5">
        <v>46114</v>
      </c>
      <c r="E9" s="10">
        <v>1390</v>
      </c>
      <c r="F9" s="10">
        <f>SUMIF(Collections!C:C,B9,Collections!E:E)</f>
        <v>700</v>
      </c>
      <c r="G9" s="10">
        <f t="shared" si="0"/>
        <v>690</v>
      </c>
    </row>
    <row r="10" spans="1:7" x14ac:dyDescent="0.3">
      <c r="A10" s="1" t="s">
        <v>38</v>
      </c>
      <c r="B10" s="1" t="s">
        <v>50</v>
      </c>
      <c r="C10" s="5">
        <v>46093</v>
      </c>
      <c r="D10" s="5">
        <v>46123</v>
      </c>
      <c r="E10" s="10">
        <v>980</v>
      </c>
      <c r="F10" s="10">
        <f>SUMIF(Collections!C:C,B10,Collections!E:E)</f>
        <v>980</v>
      </c>
      <c r="G10" s="10">
        <f t="shared" si="0"/>
        <v>0</v>
      </c>
    </row>
    <row r="11" spans="1:7" x14ac:dyDescent="0.3">
      <c r="A11" s="1" t="s">
        <v>40</v>
      </c>
      <c r="B11" s="1" t="s">
        <v>51</v>
      </c>
      <c r="C11" s="5">
        <v>46101</v>
      </c>
      <c r="D11" s="5">
        <v>46131</v>
      </c>
      <c r="E11" s="10">
        <v>1875</v>
      </c>
      <c r="F11" s="10">
        <f>SUMIF(Collections!C:C,B11,Collections!E:E)</f>
        <v>500</v>
      </c>
      <c r="G11" s="10">
        <f t="shared" si="0"/>
        <v>1375</v>
      </c>
    </row>
  </sheetData>
  <autoFilter ref="A1:G11" xr:uid="{00000000-0009-0000-0000-000004000000}"/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"/>
  <sheetViews>
    <sheetView tabSelected="1" workbookViewId="0">
      <pane ySplit="2" topLeftCell="A3" activePane="bottomLeft" state="frozen"/>
      <selection pane="bottomLeft" activeCell="B3" sqref="B3:E5"/>
    </sheetView>
  </sheetViews>
  <sheetFormatPr defaultRowHeight="14.4" x14ac:dyDescent="0.3"/>
  <cols>
    <col min="1" max="4" width="28" customWidth="1"/>
    <col min="5" max="5" width="23" customWidth="1"/>
    <col min="6" max="6" width="19" customWidth="1"/>
  </cols>
  <sheetData>
    <row r="1" spans="1:6" ht="30" customHeight="1" x14ac:dyDescent="0.3">
      <c r="A1" s="9" t="s">
        <v>104</v>
      </c>
      <c r="B1" s="8"/>
      <c r="C1" s="8"/>
      <c r="D1" s="8"/>
      <c r="E1" s="8"/>
      <c r="F1" s="8"/>
    </row>
    <row r="2" spans="1:6" x14ac:dyDescent="0.3">
      <c r="A2" s="2" t="s">
        <v>27</v>
      </c>
      <c r="B2" s="2" t="s">
        <v>105</v>
      </c>
      <c r="C2" s="2" t="s">
        <v>80</v>
      </c>
      <c r="D2" s="2" t="s">
        <v>106</v>
      </c>
      <c r="E2" s="2" t="s">
        <v>107</v>
      </c>
      <c r="F2" s="2" t="s">
        <v>108</v>
      </c>
    </row>
    <row r="3" spans="1:6" x14ac:dyDescent="0.3">
      <c r="A3" s="1" t="s">
        <v>32</v>
      </c>
      <c r="B3" s="10">
        <f>SUMIFS(Sales!E:E,Sales!G:G,A3)</f>
        <v>3780</v>
      </c>
      <c r="C3" s="10">
        <f>SUMIFS(Expenses!F:F,Expenses!H:H,A3,Expenses!C:C,"Cost of Sales")</f>
        <v>720</v>
      </c>
      <c r="D3" s="10">
        <f>SUMIFS(Expenses!F:F,Expenses!H:H,A3)-C3</f>
        <v>765</v>
      </c>
      <c r="E3" s="10">
        <f>B3-C3-D3</f>
        <v>2295</v>
      </c>
      <c r="F3" s="6">
        <f>IFERROR(E3/B3,0)</f>
        <v>0.6071428571428571</v>
      </c>
    </row>
    <row r="4" spans="1:6" x14ac:dyDescent="0.3">
      <c r="A4" s="1" t="s">
        <v>43</v>
      </c>
      <c r="B4" s="10">
        <f>SUMIFS(Sales!E:E,Sales!G:G,A4)</f>
        <v>4030</v>
      </c>
      <c r="C4" s="10">
        <f>SUMIFS(Expenses!F:F,Expenses!H:H,A4,Expenses!C:C,"Cost of Sales")</f>
        <v>880</v>
      </c>
      <c r="D4" s="10">
        <f>SUMIFS(Expenses!F:F,Expenses!H:H,A4)-C4</f>
        <v>1095</v>
      </c>
      <c r="E4" s="10">
        <f>B4-C4-D4</f>
        <v>2055</v>
      </c>
      <c r="F4" s="6">
        <f>IFERROR(E4/B4,0)</f>
        <v>0.50992555831265507</v>
      </c>
    </row>
    <row r="5" spans="1:6" x14ac:dyDescent="0.3">
      <c r="A5" s="1" t="s">
        <v>49</v>
      </c>
      <c r="B5" s="10">
        <f>SUMIFS(Sales!E:E,Sales!G:G,A5)</f>
        <v>4245</v>
      </c>
      <c r="C5" s="10">
        <f>SUMIFS(Expenses!F:F,Expenses!H:H,A5,Expenses!C:C,"Cost of Sales")</f>
        <v>1020</v>
      </c>
      <c r="D5" s="10">
        <f>SUMIFS(Expenses!F:F,Expenses!H:H,A5)-C5</f>
        <v>215</v>
      </c>
      <c r="E5" s="10">
        <f>B5-C5-D5</f>
        <v>3010</v>
      </c>
      <c r="F5" s="6">
        <f>IFERROR(E5/B5,0)</f>
        <v>0.70906949352179038</v>
      </c>
    </row>
  </sheetData>
  <autoFilter ref="A1:F5" xr:uid="{00000000-0009-0000-0000-000005000000}"/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Sales</vt:lpstr>
      <vt:lpstr>Collections</vt:lpstr>
      <vt:lpstr>Expenses</vt:lpstr>
      <vt:lpstr>Receivables</vt:lpstr>
      <vt:lpstr>Profit &amp; Loss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Njoroge</cp:lastModifiedBy>
  <dcterms:created xsi:type="dcterms:W3CDTF">2026-10-26T14:19:43Z</dcterms:created>
  <dcterms:modified xsi:type="dcterms:W3CDTF">2026-10-26T14:54:54Z</dcterms:modified>
</cp:coreProperties>
</file>