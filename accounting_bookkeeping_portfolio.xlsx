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Receivables" sheetId="5" state="visible" r:id="rId5"/>
    <sheet xmlns:r="http://schemas.openxmlformats.org/officeDocument/2006/relationships" name="Profit &amp; Loss" sheetId="6" state="visible" r:id="rId6"/>
  </sheets>
  <definedNames>
    <definedName name="_xlnm._FilterDatabase" localSheetId="0" hidden="1">'Dashboard'!$A$1:$F$18</definedName>
    <definedName name="_xlnm._FilterDatabase" localSheetId="1" hidden="1">'Sales'!$A$1:$G$11</definedName>
    <definedName name="_xlnm._FilterDatabase" localSheetId="2" hidden="1">'Collections'!$A$1:$G$11</definedName>
    <definedName name="_xlnm._FilterDatabase" localSheetId="3" hidden="1">'Expenses'!$A$1:$H$11</definedName>
    <definedName name="_xlnm._FilterDatabase" localSheetId="4" hidden="1">'Receivables'!$A$1:$G$11</definedName>
    <definedName name="_xlnm._FilterDatabase" localSheetId="5" hidden="1">'Profit &amp; Loss'!$A$1:$F$5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KSh &quot;#,##0.00"/>
    <numFmt numFmtId="165" formatCode="yyyy-mm-dd h:mm:ss"/>
    <numFmt numFmtId="166" formatCode="yyyy-mm-dd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8" customWidth="1" min="3" max="3"/>
    <col width="13" customWidth="1" min="4" max="4"/>
    <col width="13" customWidth="1" min="5" max="5"/>
    <col width="13" customWidth="1" min="6" max="6"/>
  </cols>
  <sheetData>
    <row r="1" ht="30" customHeight="1">
      <c r="A1" s="1" t="inlineStr">
        <is>
          <t>SAMPLE ACCOUNTING &amp; BOOKKEEPING PORTFOLIO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All figures and counterparties in this workbook are fictional and for demonstration only.</t>
        </is>
      </c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Metric</t>
        </is>
      </c>
      <c r="B5" s="4" t="inlineStr">
        <is>
          <t>Sample Value</t>
        </is>
      </c>
      <c r="C5" s="4" t="inlineStr">
        <is>
          <t>Interpretation</t>
        </is>
      </c>
      <c r="D5" s="4" t="inlineStr"/>
      <c r="E5" s="4" t="inlineStr"/>
      <c r="F5" s="4" t="inlineStr"/>
    </row>
    <row r="6">
      <c r="A6" s="2" t="inlineStr">
        <is>
          <t>Total invoiced sales</t>
        </is>
      </c>
      <c r="B6" s="5">
        <f>SUM(Sales!E:E)</f>
        <v/>
      </c>
      <c r="C6" s="2" t="inlineStr">
        <is>
          <t>Total value of issued invoices</t>
        </is>
      </c>
      <c r="D6" s="2" t="n"/>
      <c r="E6" s="2" t="n"/>
      <c r="F6" s="2" t="n"/>
    </row>
    <row r="7">
      <c r="A7" s="2" t="inlineStr">
        <is>
          <t>Total collections</t>
        </is>
      </c>
      <c r="B7" s="5">
        <f>SUM(Collections!E:E)</f>
        <v/>
      </c>
      <c r="C7" s="2" t="inlineStr">
        <is>
          <t>Receipts recorded against invoices</t>
        </is>
      </c>
      <c r="D7" s="2" t="n"/>
      <c r="E7" s="2" t="n"/>
      <c r="F7" s="2" t="n"/>
    </row>
    <row r="8">
      <c r="A8" s="2" t="inlineStr">
        <is>
          <t>Total expenses</t>
        </is>
      </c>
      <c r="B8" s="5">
        <f>SUM(Expenses!F:F)</f>
        <v/>
      </c>
      <c r="C8" s="2" t="inlineStr">
        <is>
          <t>Operating and cost-of-sales expenses</t>
        </is>
      </c>
      <c r="D8" s="2" t="n"/>
      <c r="E8" s="2" t="n"/>
      <c r="F8" s="2" t="n"/>
    </row>
    <row r="9">
      <c r="A9" s="2" t="inlineStr">
        <is>
          <t>Outstanding receivables</t>
        </is>
      </c>
      <c r="B9" s="5">
        <f>SUM(Receivables!G:G)</f>
        <v/>
      </c>
      <c r="C9" s="2" t="inlineStr">
        <is>
          <t>Invoice balance less recorded receipts</t>
        </is>
      </c>
      <c r="D9" s="2" t="n"/>
      <c r="E9" s="2" t="n"/>
      <c r="F9" s="2" t="n"/>
    </row>
    <row r="10">
      <c r="A10" s="2" t="inlineStr">
        <is>
          <t>Net profit before tax</t>
        </is>
      </c>
      <c r="B10" s="5">
        <f>'Profit &amp; Loss'!E6</f>
        <v/>
      </c>
      <c r="C10" s="2" t="inlineStr">
        <is>
          <t>Sales less all expenses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6" t="inlineStr">
        <is>
          <t>Portfolio skills demonstrated</t>
        </is>
      </c>
      <c r="B13" s="2" t="n"/>
      <c r="C13" s="2" t="n"/>
      <c r="D13" s="2" t="n"/>
      <c r="E13" s="2" t="n"/>
      <c r="F13" s="2" t="n"/>
    </row>
    <row r="14">
      <c r="A14" s="2" t="inlineStr">
        <is>
          <t>• Accounts receivable tracking and aging</t>
        </is>
      </c>
      <c r="B14" s="2" t="n"/>
      <c r="C14" s="2" t="n"/>
      <c r="D14" s="2" t="n"/>
      <c r="E14" s="2" t="n"/>
      <c r="F14" s="2" t="n"/>
    </row>
    <row r="15">
      <c r="A15" s="2" t="inlineStr">
        <is>
          <t>• Cash receipt recording and invoice matching</t>
        </is>
      </c>
      <c r="B15" s="2" t="n"/>
      <c r="C15" s="2" t="n"/>
      <c r="D15" s="2" t="n"/>
      <c r="E15" s="2" t="n"/>
      <c r="F15" s="2" t="n"/>
    </row>
    <row r="16">
      <c r="A16" s="2" t="inlineStr">
        <is>
          <t>• Expense categorization and spend review</t>
        </is>
      </c>
      <c r="B16" s="2" t="n"/>
      <c r="C16" s="2" t="n"/>
      <c r="D16" s="2" t="n"/>
      <c r="E16" s="2" t="n"/>
      <c r="F16" s="2" t="n"/>
    </row>
    <row r="17">
      <c r="A17" s="2" t="inlineStr">
        <is>
          <t>• Monthly profit-and-loss reporting</t>
        </is>
      </c>
      <c r="B17" s="2" t="n"/>
      <c r="C17" s="2" t="n"/>
      <c r="D17" s="2" t="n"/>
      <c r="E17" s="2" t="n"/>
      <c r="F17" s="2" t="n"/>
    </row>
    <row r="18">
      <c r="A18" s="2" t="inlineStr">
        <is>
          <t>• Basic data validation and audit trail awareness</t>
        </is>
      </c>
      <c r="B18" s="2" t="n"/>
      <c r="C18" s="2" t="n"/>
      <c r="D18" s="2" t="n"/>
      <c r="E18" s="2" t="n"/>
      <c r="F18" s="2" t="n"/>
    </row>
  </sheetData>
  <autoFilter ref="A1:F18"/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9" customWidth="1" min="3" max="3"/>
    <col width="13" customWidth="1" min="4" max="4"/>
    <col width="16" customWidth="1" min="5" max="5"/>
    <col width="15" customWidth="1" min="6" max="6"/>
    <col width="13" customWidth="1" min="7" max="7"/>
    <col width="15" customWidth="1" min="8" max="8"/>
  </cols>
  <sheetData>
    <row r="1" ht="30" customHeight="1">
      <c r="A1" s="1" t="inlineStr">
        <is>
          <t>SALES — FICTIONAL SAMPLE DATA</t>
        </is>
      </c>
    </row>
    <row r="2">
      <c r="A2" s="4" t="inlineStr">
        <is>
          <t>Date</t>
        </is>
      </c>
      <c r="B2" s="4" t="inlineStr">
        <is>
          <t>Invoice_Ref</t>
        </is>
      </c>
      <c r="C2" s="4" t="inlineStr">
        <is>
          <t>Customer</t>
        </is>
      </c>
      <c r="D2" s="4" t="inlineStr">
        <is>
          <t>Salesperson</t>
        </is>
      </c>
      <c r="E2" s="4" t="inlineStr">
        <is>
          <t>Invoice_Amount</t>
        </is>
      </c>
      <c r="F2" s="4" t="inlineStr">
        <is>
          <t>Payment_Type</t>
        </is>
      </c>
      <c r="G2" s="4" t="inlineStr">
        <is>
          <t>Month</t>
        </is>
      </c>
      <c r="H2" s="7" t="inlineStr">
        <is>
          <t>Month</t>
        </is>
      </c>
    </row>
    <row r="3">
      <c r="A3" s="8" t="n">
        <v>46027</v>
      </c>
      <c r="B3" s="2" t="inlineStr">
        <is>
          <t>INV-1001</t>
        </is>
      </c>
      <c r="C3" s="2" t="inlineStr">
        <is>
          <t>Northstar Retail</t>
        </is>
      </c>
      <c r="D3" s="2" t="inlineStr">
        <is>
          <t>Sales Rep A</t>
        </is>
      </c>
      <c r="E3" s="5" t="n">
        <v>1250</v>
      </c>
      <c r="F3" s="2" t="inlineStr">
        <is>
          <t>Credit</t>
        </is>
      </c>
      <c r="G3" s="2" t="inlineStr">
        <is>
          <t>2026-01</t>
        </is>
      </c>
      <c r="H3">
        <f>TEXT(A3,"yyyy-mm")</f>
        <v/>
      </c>
    </row>
    <row r="4">
      <c r="A4" s="8" t="n">
        <v>46030</v>
      </c>
      <c r="B4" s="2" t="inlineStr">
        <is>
          <t>INV-1002</t>
        </is>
      </c>
      <c r="C4" s="2" t="inlineStr">
        <is>
          <t>Maple Corner Shop</t>
        </is>
      </c>
      <c r="D4" s="2" t="inlineStr">
        <is>
          <t>Sales Rep B</t>
        </is>
      </c>
      <c r="E4" s="5" t="n">
        <v>890</v>
      </c>
      <c r="F4" s="2" t="inlineStr">
        <is>
          <t>Bank Transfer</t>
        </is>
      </c>
      <c r="G4" s="2" t="inlineStr">
        <is>
          <t>2026-01</t>
        </is>
      </c>
      <c r="H4">
        <f>TEXT(A4,"yyyy-mm")</f>
        <v/>
      </c>
    </row>
    <row r="5">
      <c r="A5" s="8" t="n">
        <v>46036</v>
      </c>
      <c r="B5" s="2" t="inlineStr">
        <is>
          <t>INV-1003</t>
        </is>
      </c>
      <c r="C5" s="2" t="inlineStr">
        <is>
          <t>Harbor Market</t>
        </is>
      </c>
      <c r="D5" s="2" t="inlineStr">
        <is>
          <t>Sales Rep A</t>
        </is>
      </c>
      <c r="E5" s="5" t="n">
        <v>1640</v>
      </c>
      <c r="F5" s="2" t="inlineStr">
        <is>
          <t>Credit</t>
        </is>
      </c>
      <c r="G5" s="2" t="inlineStr">
        <is>
          <t>2026-01</t>
        </is>
      </c>
      <c r="H5">
        <f>TEXT(A5,"yyyy-mm")</f>
        <v/>
      </c>
    </row>
    <row r="6">
      <c r="A6" s="8" t="n">
        <v>46055</v>
      </c>
      <c r="B6" s="2" t="inlineStr">
        <is>
          <t>INV-1004</t>
        </is>
      </c>
      <c r="C6" s="2" t="inlineStr">
        <is>
          <t>Cedar &amp; Co.</t>
        </is>
      </c>
      <c r="D6" s="2" t="inlineStr">
        <is>
          <t>Sales Rep C</t>
        </is>
      </c>
      <c r="E6" s="5" t="n">
        <v>1120</v>
      </c>
      <c r="F6" s="2" t="inlineStr">
        <is>
          <t>Card</t>
        </is>
      </c>
      <c r="G6" s="2" t="inlineStr">
        <is>
          <t>2026-02</t>
        </is>
      </c>
      <c r="H6">
        <f>TEXT(A6,"yyyy-mm")</f>
        <v/>
      </c>
    </row>
    <row r="7">
      <c r="A7" s="8" t="n">
        <v>46063</v>
      </c>
      <c r="B7" s="2" t="inlineStr">
        <is>
          <t>INV-1005</t>
        </is>
      </c>
      <c r="C7" s="2" t="inlineStr">
        <is>
          <t>Brightway Stores</t>
        </is>
      </c>
      <c r="D7" s="2" t="inlineStr">
        <is>
          <t>Sales Rep B</t>
        </is>
      </c>
      <c r="E7" s="5" t="n">
        <v>2150</v>
      </c>
      <c r="F7" s="2" t="inlineStr">
        <is>
          <t>Credit</t>
        </is>
      </c>
      <c r="G7" s="2" t="inlineStr">
        <is>
          <t>2026-02</t>
        </is>
      </c>
      <c r="H7">
        <f>TEXT(A7,"yyyy-mm")</f>
        <v/>
      </c>
    </row>
    <row r="8">
      <c r="A8" s="8" t="n">
        <v>46071</v>
      </c>
      <c r="B8" s="2" t="inlineStr">
        <is>
          <t>INV-1006</t>
        </is>
      </c>
      <c r="C8" s="2" t="inlineStr">
        <is>
          <t>Northstar Retail</t>
        </is>
      </c>
      <c r="D8" s="2" t="inlineStr">
        <is>
          <t>Sales Rep A</t>
        </is>
      </c>
      <c r="E8" s="5" t="n">
        <v>760</v>
      </c>
      <c r="F8" s="2" t="inlineStr">
        <is>
          <t>Cash</t>
        </is>
      </c>
      <c r="G8" s="2" t="inlineStr">
        <is>
          <t>2026-02</t>
        </is>
      </c>
      <c r="H8">
        <f>TEXT(A8,"yyyy-mm")</f>
        <v/>
      </c>
    </row>
    <row r="9">
      <c r="A9" s="8" t="n">
        <v>46084</v>
      </c>
      <c r="B9" s="2" t="inlineStr">
        <is>
          <t>INV-1007</t>
        </is>
      </c>
      <c r="C9" s="2" t="inlineStr">
        <is>
          <t>Maple Corner Shop</t>
        </is>
      </c>
      <c r="D9" s="2" t="inlineStr">
        <is>
          <t>Sales Rep C</t>
        </is>
      </c>
      <c r="E9" s="5" t="n">
        <v>1390</v>
      </c>
      <c r="F9" s="2" t="inlineStr">
        <is>
          <t>Credit</t>
        </is>
      </c>
      <c r="G9" s="2" t="inlineStr">
        <is>
          <t>2026-03</t>
        </is>
      </c>
      <c r="H9">
        <f>TEXT(A9,"yyyy-mm")</f>
        <v/>
      </c>
    </row>
    <row r="10">
      <c r="A10" s="8" t="n">
        <v>46093</v>
      </c>
      <c r="B10" s="2" t="inlineStr">
        <is>
          <t>INV-1008</t>
        </is>
      </c>
      <c r="C10" s="2" t="inlineStr">
        <is>
          <t>Harbor Market</t>
        </is>
      </c>
      <c r="D10" s="2" t="inlineStr">
        <is>
          <t>Sales Rep B</t>
        </is>
      </c>
      <c r="E10" s="5" t="n">
        <v>980</v>
      </c>
      <c r="F10" s="2" t="inlineStr">
        <is>
          <t>Bank Transfer</t>
        </is>
      </c>
      <c r="G10" s="2" t="inlineStr">
        <is>
          <t>2026-03</t>
        </is>
      </c>
      <c r="H10">
        <f>TEXT(A10,"yyyy-mm")</f>
        <v/>
      </c>
    </row>
    <row r="11">
      <c r="A11" s="8" t="n">
        <v>46101</v>
      </c>
      <c r="B11" s="2" t="inlineStr">
        <is>
          <t>INV-1009</t>
        </is>
      </c>
      <c r="C11" s="2" t="inlineStr">
        <is>
          <t>Cedar &amp; Co.</t>
        </is>
      </c>
      <c r="D11" s="2" t="inlineStr">
        <is>
          <t>Sales Rep A</t>
        </is>
      </c>
      <c r="E11" s="5" t="n">
        <v>1875</v>
      </c>
      <c r="F11" s="2" t="inlineStr">
        <is>
          <t>Credit</t>
        </is>
      </c>
      <c r="G11" s="2" t="inlineStr">
        <is>
          <t>2026-03</t>
        </is>
      </c>
      <c r="H11">
        <f>TEXT(A11,"yyyy-mm")</f>
        <v/>
      </c>
    </row>
  </sheetData>
  <autoFilter ref="A1:G11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9" customWidth="1" min="4" max="4"/>
    <col width="13" customWidth="1" min="5" max="5"/>
    <col width="16" customWidth="1" min="6" max="6"/>
    <col width="13" customWidth="1" min="7" max="7"/>
  </cols>
  <sheetData>
    <row r="1" ht="30" customHeight="1">
      <c r="A1" s="1" t="inlineStr">
        <is>
          <t>COLLECTIONS — FICTIONAL SAMPLE DATA</t>
        </is>
      </c>
    </row>
    <row r="2">
      <c r="A2" s="4" t="inlineStr">
        <is>
          <t>Receipt_Date</t>
        </is>
      </c>
      <c r="B2" s="4" t="inlineStr">
        <is>
          <t>Receipt_Ref</t>
        </is>
      </c>
      <c r="C2" s="4" t="inlineStr">
        <is>
          <t>Invoice_Ref</t>
        </is>
      </c>
      <c r="D2" s="4" t="inlineStr">
        <is>
          <t>Customer</t>
        </is>
      </c>
      <c r="E2" s="4" t="inlineStr">
        <is>
          <t>Amount</t>
        </is>
      </c>
      <c r="F2" s="4" t="inlineStr">
        <is>
          <t>Payment_Method</t>
        </is>
      </c>
      <c r="G2" s="4" t="inlineStr">
        <is>
          <t>Month</t>
        </is>
      </c>
    </row>
    <row r="3">
      <c r="A3" s="8" t="n">
        <v>46032</v>
      </c>
      <c r="B3" s="2" t="inlineStr">
        <is>
          <t>RCPT-2001</t>
        </is>
      </c>
      <c r="C3" s="2" t="inlineStr">
        <is>
          <t>INV-1001</t>
        </is>
      </c>
      <c r="D3" s="2" t="inlineStr">
        <is>
          <t>Northstar Retail</t>
        </is>
      </c>
      <c r="E3" s="5" t="n">
        <v>500</v>
      </c>
      <c r="F3" s="2" t="inlineStr">
        <is>
          <t>Bank Transfer</t>
        </is>
      </c>
      <c r="G3" s="2" t="inlineStr">
        <is>
          <t>2026-01</t>
        </is>
      </c>
    </row>
    <row r="4">
      <c r="A4" s="8" t="n">
        <v>46038</v>
      </c>
      <c r="B4" s="2" t="inlineStr">
        <is>
          <t>RCPT-2002</t>
        </is>
      </c>
      <c r="C4" s="2" t="inlineStr">
        <is>
          <t>INV-1002</t>
        </is>
      </c>
      <c r="D4" s="2" t="inlineStr">
        <is>
          <t>Maple Corner Shop</t>
        </is>
      </c>
      <c r="E4" s="5" t="n">
        <v>890</v>
      </c>
      <c r="F4" s="2" t="inlineStr">
        <is>
          <t>Bank Transfer</t>
        </is>
      </c>
      <c r="G4" s="2" t="inlineStr">
        <is>
          <t>2026-01</t>
        </is>
      </c>
    </row>
    <row r="5">
      <c r="A5" s="8" t="n">
        <v>46047</v>
      </c>
      <c r="B5" s="2" t="inlineStr">
        <is>
          <t>RCPT-2003</t>
        </is>
      </c>
      <c r="C5" s="2" t="inlineStr">
        <is>
          <t>INV-1003</t>
        </is>
      </c>
      <c r="D5" s="2" t="inlineStr">
        <is>
          <t>Harbor Market</t>
        </is>
      </c>
      <c r="E5" s="5" t="n">
        <v>400</v>
      </c>
      <c r="F5" s="2" t="inlineStr">
        <is>
          <t>Cash</t>
        </is>
      </c>
      <c r="G5" s="2" t="inlineStr">
        <is>
          <t>2026-01</t>
        </is>
      </c>
    </row>
    <row r="6">
      <c r="A6" s="8" t="n">
        <v>46058</v>
      </c>
      <c r="B6" s="2" t="inlineStr">
        <is>
          <t>RCPT-2004</t>
        </is>
      </c>
      <c r="C6" s="2" t="inlineStr">
        <is>
          <t>INV-1004</t>
        </is>
      </c>
      <c r="D6" s="2" t="inlineStr">
        <is>
          <t>Cedar &amp; Co.</t>
        </is>
      </c>
      <c r="E6" s="5" t="n">
        <v>1120</v>
      </c>
      <c r="F6" s="2" t="inlineStr">
        <is>
          <t>Card</t>
        </is>
      </c>
      <c r="G6" s="2" t="inlineStr">
        <is>
          <t>2026-02</t>
        </is>
      </c>
    </row>
    <row r="7">
      <c r="A7" s="8" t="n">
        <v>46069</v>
      </c>
      <c r="B7" s="2" t="inlineStr">
        <is>
          <t>RCPT-2005</t>
        </is>
      </c>
      <c r="C7" s="2" t="inlineStr">
        <is>
          <t>INV-1005</t>
        </is>
      </c>
      <c r="D7" s="2" t="inlineStr">
        <is>
          <t>Brightway Stores</t>
        </is>
      </c>
      <c r="E7" s="5" t="n">
        <v>1000</v>
      </c>
      <c r="F7" s="2" t="inlineStr">
        <is>
          <t>Bank Transfer</t>
        </is>
      </c>
      <c r="G7" s="2" t="inlineStr">
        <is>
          <t>2026-02</t>
        </is>
      </c>
    </row>
    <row r="8">
      <c r="A8" s="8" t="n">
        <v>46075</v>
      </c>
      <c r="B8" s="2" t="inlineStr">
        <is>
          <t>RCPT-2006</t>
        </is>
      </c>
      <c r="C8" s="2" t="inlineStr">
        <is>
          <t>INV-1001</t>
        </is>
      </c>
      <c r="D8" s="2" t="inlineStr">
        <is>
          <t>Northstar Retail</t>
        </is>
      </c>
      <c r="E8" s="5" t="n">
        <v>300</v>
      </c>
      <c r="F8" s="2" t="inlineStr">
        <is>
          <t>Bank Transfer</t>
        </is>
      </c>
      <c r="G8" s="2" t="inlineStr">
        <is>
          <t>2026-02</t>
        </is>
      </c>
    </row>
    <row r="9">
      <c r="A9" s="8" t="n">
        <v>46091</v>
      </c>
      <c r="B9" s="2" t="inlineStr">
        <is>
          <t>RCPT-2007</t>
        </is>
      </c>
      <c r="C9" s="2" t="inlineStr">
        <is>
          <t>INV-1007</t>
        </is>
      </c>
      <c r="D9" s="2" t="inlineStr">
        <is>
          <t>Maple Corner Shop</t>
        </is>
      </c>
      <c r="E9" s="5" t="n">
        <v>700</v>
      </c>
      <c r="F9" s="2" t="inlineStr">
        <is>
          <t>Bank Transfer</t>
        </is>
      </c>
      <c r="G9" s="2" t="inlineStr">
        <is>
          <t>2026-03</t>
        </is>
      </c>
    </row>
    <row r="10">
      <c r="A10" s="8" t="n">
        <v>46096</v>
      </c>
      <c r="B10" s="2" t="inlineStr">
        <is>
          <t>RCPT-2008</t>
        </is>
      </c>
      <c r="C10" s="2" t="inlineStr">
        <is>
          <t>INV-1008</t>
        </is>
      </c>
      <c r="D10" s="2" t="inlineStr">
        <is>
          <t>Harbor Market</t>
        </is>
      </c>
      <c r="E10" s="5" t="n">
        <v>980</v>
      </c>
      <c r="F10" s="2" t="inlineStr">
        <is>
          <t>Bank Transfer</t>
        </is>
      </c>
      <c r="G10" s="2" t="inlineStr">
        <is>
          <t>2026-03</t>
        </is>
      </c>
    </row>
    <row r="11">
      <c r="A11" s="8" t="n">
        <v>46106</v>
      </c>
      <c r="B11" s="2" t="inlineStr">
        <is>
          <t>RCPT-2009</t>
        </is>
      </c>
      <c r="C11" s="2" t="inlineStr">
        <is>
          <t>INV-1009</t>
        </is>
      </c>
      <c r="D11" s="2" t="inlineStr">
        <is>
          <t>Cedar &amp; Co.</t>
        </is>
      </c>
      <c r="E11" s="5" t="n">
        <v>500</v>
      </c>
      <c r="F11" s="2" t="inlineStr">
        <is>
          <t>Cash</t>
        </is>
      </c>
      <c r="G11" s="2" t="inlineStr">
        <is>
          <t>2026-03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21" customWidth="1" min="4" max="4"/>
    <col width="24" customWidth="1" min="5" max="5"/>
    <col width="13" customWidth="1" min="6" max="6"/>
    <col width="16" customWidth="1" min="7" max="7"/>
    <col width="13" customWidth="1" min="8" max="8"/>
    <col width="15" customWidth="1" min="9" max="9"/>
  </cols>
  <sheetData>
    <row r="1" ht="30" customHeight="1">
      <c r="A1" s="1" t="inlineStr">
        <is>
          <t>EXPENSES — FICTIONAL SAMPLE DATA</t>
        </is>
      </c>
    </row>
    <row r="2">
      <c r="A2" s="4" t="inlineStr">
        <is>
          <t>Date</t>
        </is>
      </c>
      <c r="B2" s="4" t="inlineStr">
        <is>
          <t>Expense_Ref</t>
        </is>
      </c>
      <c r="C2" s="4" t="inlineStr">
        <is>
          <t>Category</t>
        </is>
      </c>
      <c r="D2" s="4" t="inlineStr">
        <is>
          <t>Vendor</t>
        </is>
      </c>
      <c r="E2" s="4" t="inlineStr">
        <is>
          <t>Description</t>
        </is>
      </c>
      <c r="F2" s="4" t="inlineStr">
        <is>
          <t>Amount</t>
        </is>
      </c>
      <c r="G2" s="4" t="inlineStr">
        <is>
          <t>Payment_Method</t>
        </is>
      </c>
      <c r="H2" s="4" t="inlineStr">
        <is>
          <t>Month</t>
        </is>
      </c>
      <c r="I2" s="7" t="inlineStr">
        <is>
          <t>Month</t>
        </is>
      </c>
    </row>
    <row r="3">
      <c r="A3" s="8" t="n">
        <v>46028</v>
      </c>
      <c r="B3" s="2" t="inlineStr">
        <is>
          <t>EXP-3001</t>
        </is>
      </c>
      <c r="C3" s="2" t="inlineStr">
        <is>
          <t>Rent</t>
        </is>
      </c>
      <c r="D3" s="2" t="inlineStr">
        <is>
          <t>Sample Property Ltd</t>
        </is>
      </c>
      <c r="E3" s="2" t="inlineStr">
        <is>
          <t>Office rent</t>
        </is>
      </c>
      <c r="F3" s="5" t="n">
        <v>650</v>
      </c>
      <c r="G3" s="2" t="inlineStr">
        <is>
          <t>Bank Transfer</t>
        </is>
      </c>
      <c r="H3" s="2" t="inlineStr">
        <is>
          <t>2026-01</t>
        </is>
      </c>
      <c r="I3">
        <f>TEXT(A3,"yyyy-mm")</f>
        <v/>
      </c>
    </row>
    <row r="4">
      <c r="A4" s="8" t="n">
        <v>46031</v>
      </c>
      <c r="B4" s="2" t="inlineStr">
        <is>
          <t>EXP-3002</t>
        </is>
      </c>
      <c r="C4" s="2" t="inlineStr">
        <is>
          <t>Utilities</t>
        </is>
      </c>
      <c r="D4" s="2" t="inlineStr">
        <is>
          <t>Utility Services</t>
        </is>
      </c>
      <c r="E4" s="2" t="inlineStr">
        <is>
          <t>Electricity and water</t>
        </is>
      </c>
      <c r="F4" s="5" t="n">
        <v>115</v>
      </c>
      <c r="G4" s="2" t="inlineStr">
        <is>
          <t>Bank Transfer</t>
        </is>
      </c>
      <c r="H4" s="2" t="inlineStr">
        <is>
          <t>2026-01</t>
        </is>
      </c>
      <c r="I4">
        <f>TEXT(A4,"yyyy-mm")</f>
        <v/>
      </c>
    </row>
    <row r="5">
      <c r="A5" s="8" t="n">
        <v>46037</v>
      </c>
      <c r="B5" s="2" t="inlineStr">
        <is>
          <t>EXP-3003</t>
        </is>
      </c>
      <c r="C5" s="2" t="inlineStr">
        <is>
          <t>Cost of Sales</t>
        </is>
      </c>
      <c r="D5" s="2" t="inlineStr">
        <is>
          <t>Sample Supplier</t>
        </is>
      </c>
      <c r="E5" s="2" t="inlineStr">
        <is>
          <t>Inventory purchase</t>
        </is>
      </c>
      <c r="F5" s="5" t="n">
        <v>720</v>
      </c>
      <c r="G5" s="2" t="inlineStr">
        <is>
          <t>Bank Transfer</t>
        </is>
      </c>
      <c r="H5" s="2" t="inlineStr">
        <is>
          <t>2026-01</t>
        </is>
      </c>
      <c r="I5">
        <f>TEXT(A5,"yyyy-mm")</f>
        <v/>
      </c>
    </row>
    <row r="6">
      <c r="A6" s="8" t="n">
        <v>46057</v>
      </c>
      <c r="B6" s="2" t="inlineStr">
        <is>
          <t>EXP-3004</t>
        </is>
      </c>
      <c r="C6" s="2" t="inlineStr">
        <is>
          <t>Transport</t>
        </is>
      </c>
      <c r="D6" s="2" t="inlineStr">
        <is>
          <t>City Logistics</t>
        </is>
      </c>
      <c r="E6" s="2" t="inlineStr">
        <is>
          <t>Delivery costs</t>
        </is>
      </c>
      <c r="F6" s="5" t="n">
        <v>145</v>
      </c>
      <c r="G6" s="2" t="inlineStr">
        <is>
          <t>Card</t>
        </is>
      </c>
      <c r="H6" s="2" t="inlineStr">
        <is>
          <t>2026-02</t>
        </is>
      </c>
      <c r="I6">
        <f>TEXT(A6,"yyyy-mm")</f>
        <v/>
      </c>
    </row>
    <row r="7">
      <c r="A7" s="8" t="n">
        <v>46064</v>
      </c>
      <c r="B7" s="2" t="inlineStr">
        <is>
          <t>EXP-3005</t>
        </is>
      </c>
      <c r="C7" s="2" t="inlineStr">
        <is>
          <t>Salaries</t>
        </is>
      </c>
      <c r="D7" s="2" t="inlineStr">
        <is>
          <t>Payroll Services</t>
        </is>
      </c>
      <c r="E7" s="2" t="inlineStr">
        <is>
          <t>Monthly payroll</t>
        </is>
      </c>
      <c r="F7" s="5" t="n">
        <v>950</v>
      </c>
      <c r="G7" s="2" t="inlineStr">
        <is>
          <t>Bank Transfer</t>
        </is>
      </c>
      <c r="H7" s="2" t="inlineStr">
        <is>
          <t>2026-02</t>
        </is>
      </c>
      <c r="I7">
        <f>TEXT(A7,"yyyy-mm")</f>
        <v/>
      </c>
    </row>
    <row r="8">
      <c r="A8" s="8" t="n">
        <v>46072</v>
      </c>
      <c r="B8" s="2" t="inlineStr">
        <is>
          <t>EXP-3006</t>
        </is>
      </c>
      <c r="C8" s="2" t="inlineStr">
        <is>
          <t>Cost of Sales</t>
        </is>
      </c>
      <c r="D8" s="2" t="inlineStr">
        <is>
          <t>Sample Supplier</t>
        </is>
      </c>
      <c r="E8" s="2" t="inlineStr">
        <is>
          <t>Inventory purchase</t>
        </is>
      </c>
      <c r="F8" s="5" t="n">
        <v>880</v>
      </c>
      <c r="G8" s="2" t="inlineStr">
        <is>
          <t>Bank Transfer</t>
        </is>
      </c>
      <c r="H8" s="2" t="inlineStr">
        <is>
          <t>2026-02</t>
        </is>
      </c>
      <c r="I8">
        <f>TEXT(A8,"yyyy-mm")</f>
        <v/>
      </c>
    </row>
    <row r="9">
      <c r="A9" s="8" t="n">
        <v>46086</v>
      </c>
      <c r="B9" s="2" t="inlineStr">
        <is>
          <t>EXP-3007</t>
        </is>
      </c>
      <c r="C9" s="2" t="inlineStr">
        <is>
          <t>Utilities</t>
        </is>
      </c>
      <c r="D9" s="2" t="inlineStr">
        <is>
          <t>Utility Services</t>
        </is>
      </c>
      <c r="E9" s="2" t="inlineStr">
        <is>
          <t>Internet and utilities</t>
        </is>
      </c>
      <c r="F9" s="5" t="n">
        <v>130</v>
      </c>
      <c r="G9" s="2" t="inlineStr">
        <is>
          <t>Bank Transfer</t>
        </is>
      </c>
      <c r="H9" s="2" t="inlineStr">
        <is>
          <t>2026-03</t>
        </is>
      </c>
      <c r="I9">
        <f>TEXT(A9,"yyyy-mm")</f>
        <v/>
      </c>
    </row>
    <row r="10">
      <c r="A10" s="8" t="n">
        <v>46094</v>
      </c>
      <c r="B10" s="2" t="inlineStr">
        <is>
          <t>EXP-3008</t>
        </is>
      </c>
      <c r="C10" s="2" t="inlineStr">
        <is>
          <t>Office</t>
        </is>
      </c>
      <c r="D10" s="2" t="inlineStr">
        <is>
          <t>Office Supplies Co.</t>
        </is>
      </c>
      <c r="E10" s="2" t="inlineStr">
        <is>
          <t>Stationery</t>
        </is>
      </c>
      <c r="F10" s="5" t="n">
        <v>85</v>
      </c>
      <c r="G10" s="2" t="inlineStr">
        <is>
          <t>Card</t>
        </is>
      </c>
      <c r="H10" s="2" t="inlineStr">
        <is>
          <t>2026-03</t>
        </is>
      </c>
      <c r="I10">
        <f>TEXT(A10,"yyyy-mm")</f>
        <v/>
      </c>
    </row>
    <row r="11">
      <c r="A11" s="8" t="n">
        <v>46102</v>
      </c>
      <c r="B11" s="2" t="inlineStr">
        <is>
          <t>EXP-3009</t>
        </is>
      </c>
      <c r="C11" s="2" t="inlineStr">
        <is>
          <t>Cost of Sales</t>
        </is>
      </c>
      <c r="D11" s="2" t="inlineStr">
        <is>
          <t>Sample Supplier</t>
        </is>
      </c>
      <c r="E11" s="2" t="inlineStr">
        <is>
          <t>Inventory purchase</t>
        </is>
      </c>
      <c r="F11" s="5" t="n">
        <v>1020</v>
      </c>
      <c r="G11" s="2" t="inlineStr">
        <is>
          <t>Bank Transfer</t>
        </is>
      </c>
      <c r="H11" s="2" t="inlineStr">
        <is>
          <t>2026-03</t>
        </is>
      </c>
      <c r="I11">
        <f>TEXT(A11,"yyyy-mm")</f>
        <v/>
      </c>
    </row>
  </sheetData>
  <autoFilter ref="A1:H11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1" customWidth="1" min="3" max="3"/>
    <col width="21" customWidth="1" min="4" max="4"/>
    <col width="16" customWidth="1" min="5" max="5"/>
    <col width="28" customWidth="1" min="6" max="6"/>
    <col width="17" customWidth="1" min="7" max="7"/>
  </cols>
  <sheetData>
    <row r="1" ht="30" customHeight="1">
      <c r="A1" s="1" t="inlineStr">
        <is>
          <t>ACCOUNTS RECEIVABLES &amp; AGING</t>
        </is>
      </c>
    </row>
    <row r="2">
      <c r="A2" s="4" t="inlineStr">
        <is>
          <t>Customer</t>
        </is>
      </c>
      <c r="B2" s="4" t="inlineStr">
        <is>
          <t>Invoice_Ref</t>
        </is>
      </c>
      <c r="C2" s="4" t="inlineStr">
        <is>
          <t>Invoice_Date</t>
        </is>
      </c>
      <c r="D2" s="4" t="inlineStr">
        <is>
          <t>Due_Date</t>
        </is>
      </c>
      <c r="E2" s="4" t="inlineStr">
        <is>
          <t>Invoice_Amount</t>
        </is>
      </c>
      <c r="F2" s="4" t="inlineStr">
        <is>
          <t>Collections</t>
        </is>
      </c>
      <c r="G2" s="4" t="inlineStr">
        <is>
          <t>Outstanding</t>
        </is>
      </c>
    </row>
    <row r="3">
      <c r="A3" s="2" t="inlineStr">
        <is>
          <t>Northstar Retail</t>
        </is>
      </c>
      <c r="B3" s="2" t="inlineStr">
        <is>
          <t>INV-1001</t>
        </is>
      </c>
      <c r="C3" s="9" t="n">
        <v>46027</v>
      </c>
      <c r="D3" s="9" t="n">
        <v>46057</v>
      </c>
      <c r="E3" s="5" t="n">
        <v>1250</v>
      </c>
      <c r="F3" s="5">
        <f>SUMIF(Collections!C:C,B3,Collections!E:E)</f>
        <v/>
      </c>
      <c r="G3" s="5">
        <f>MAX(0,E3-F3)</f>
        <v/>
      </c>
    </row>
    <row r="4">
      <c r="A4" s="2" t="inlineStr">
        <is>
          <t>Maple Corner Shop</t>
        </is>
      </c>
      <c r="B4" s="2" t="inlineStr">
        <is>
          <t>INV-1002</t>
        </is>
      </c>
      <c r="C4" s="9" t="n">
        <v>46030</v>
      </c>
      <c r="D4" s="9" t="n">
        <v>46060</v>
      </c>
      <c r="E4" s="5" t="n">
        <v>890</v>
      </c>
      <c r="F4" s="5">
        <f>SUMIF(Collections!C:C,B4,Collections!E:E)</f>
        <v/>
      </c>
      <c r="G4" s="5">
        <f>MAX(0,E4-F4)</f>
        <v/>
      </c>
    </row>
    <row r="5">
      <c r="A5" s="2" t="inlineStr">
        <is>
          <t>Harbor Market</t>
        </is>
      </c>
      <c r="B5" s="2" t="inlineStr">
        <is>
          <t>INV-1003</t>
        </is>
      </c>
      <c r="C5" s="9" t="n">
        <v>46036</v>
      </c>
      <c r="D5" s="9" t="n">
        <v>46066</v>
      </c>
      <c r="E5" s="5" t="n">
        <v>1640</v>
      </c>
      <c r="F5" s="5">
        <f>SUMIF(Collections!C:C,B5,Collections!E:E)</f>
        <v/>
      </c>
      <c r="G5" s="5">
        <f>MAX(0,E5-F5)</f>
        <v/>
      </c>
    </row>
    <row r="6">
      <c r="A6" s="2" t="inlineStr">
        <is>
          <t>Cedar &amp; Co.</t>
        </is>
      </c>
      <c r="B6" s="2" t="inlineStr">
        <is>
          <t>INV-1004</t>
        </is>
      </c>
      <c r="C6" s="9" t="n">
        <v>46055</v>
      </c>
      <c r="D6" s="9" t="n">
        <v>46085</v>
      </c>
      <c r="E6" s="5" t="n">
        <v>1120</v>
      </c>
      <c r="F6" s="5">
        <f>SUMIF(Collections!C:C,B6,Collections!E:E)</f>
        <v/>
      </c>
      <c r="G6" s="5">
        <f>MAX(0,E6-F6)</f>
        <v/>
      </c>
    </row>
    <row r="7">
      <c r="A7" s="2" t="inlineStr">
        <is>
          <t>Brightway Stores</t>
        </is>
      </c>
      <c r="B7" s="2" t="inlineStr">
        <is>
          <t>INV-1005</t>
        </is>
      </c>
      <c r="C7" s="9" t="n">
        <v>46063</v>
      </c>
      <c r="D7" s="9" t="n">
        <v>46093</v>
      </c>
      <c r="E7" s="5" t="n">
        <v>2150</v>
      </c>
      <c r="F7" s="5">
        <f>SUMIF(Collections!C:C,B7,Collections!E:E)</f>
        <v/>
      </c>
      <c r="G7" s="5">
        <f>MAX(0,E7-F7)</f>
        <v/>
      </c>
    </row>
    <row r="8">
      <c r="A8" s="2" t="inlineStr">
        <is>
          <t>Northstar Retail</t>
        </is>
      </c>
      <c r="B8" s="2" t="inlineStr">
        <is>
          <t>INV-1006</t>
        </is>
      </c>
      <c r="C8" s="9" t="n">
        <v>46071</v>
      </c>
      <c r="D8" s="9" t="n">
        <v>46101</v>
      </c>
      <c r="E8" s="5" t="n">
        <v>760</v>
      </c>
      <c r="F8" s="5">
        <f>SUMIF(Collections!C:C,B8,Collections!E:E)</f>
        <v/>
      </c>
      <c r="G8" s="5">
        <f>MAX(0,E8-F8)</f>
        <v/>
      </c>
    </row>
    <row r="9">
      <c r="A9" s="2" t="inlineStr">
        <is>
          <t>Maple Corner Shop</t>
        </is>
      </c>
      <c r="B9" s="2" t="inlineStr">
        <is>
          <t>INV-1007</t>
        </is>
      </c>
      <c r="C9" s="9" t="n">
        <v>46084</v>
      </c>
      <c r="D9" s="9" t="n">
        <v>46114</v>
      </c>
      <c r="E9" s="5" t="n">
        <v>1390</v>
      </c>
      <c r="F9" s="5">
        <f>SUMIF(Collections!C:C,B9,Collections!E:E)</f>
        <v/>
      </c>
      <c r="G9" s="5">
        <f>MAX(0,E9-F9)</f>
        <v/>
      </c>
    </row>
    <row r="10">
      <c r="A10" s="2" t="inlineStr">
        <is>
          <t>Harbor Market</t>
        </is>
      </c>
      <c r="B10" s="2" t="inlineStr">
        <is>
          <t>INV-1008</t>
        </is>
      </c>
      <c r="C10" s="9" t="n">
        <v>46093</v>
      </c>
      <c r="D10" s="9" t="n">
        <v>46123</v>
      </c>
      <c r="E10" s="5" t="n">
        <v>980</v>
      </c>
      <c r="F10" s="5">
        <f>SUMIF(Collections!C:C,B10,Collections!E:E)</f>
        <v/>
      </c>
      <c r="G10" s="5">
        <f>MAX(0,E10-F10)</f>
        <v/>
      </c>
    </row>
    <row r="11">
      <c r="A11" s="2" t="inlineStr">
        <is>
          <t>Cedar &amp; Co.</t>
        </is>
      </c>
      <c r="B11" s="2" t="inlineStr">
        <is>
          <t>INV-1009</t>
        </is>
      </c>
      <c r="C11" s="9" t="n">
        <v>46101</v>
      </c>
      <c r="D11" s="9" t="n">
        <v>46131</v>
      </c>
      <c r="E11" s="5" t="n">
        <v>1875</v>
      </c>
      <c r="F11" s="5">
        <f>SUMIF(Collections!C:C,B11,Collections!E:E)</f>
        <v/>
      </c>
      <c r="G11" s="5">
        <f>MAX(0,E11-F11)</f>
        <v/>
      </c>
    </row>
  </sheetData>
  <autoFilter ref="A1:G11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19" customWidth="1" min="6" max="6"/>
  </cols>
  <sheetData>
    <row r="1" ht="30" customHeight="1">
      <c r="A1" s="1" t="inlineStr">
        <is>
          <t>MONTHLY PROFIT &amp; LOSS SUMMARY</t>
        </is>
      </c>
    </row>
    <row r="2">
      <c r="A2" s="4" t="inlineStr">
        <is>
          <t>Month</t>
        </is>
      </c>
      <c r="B2" s="4" t="inlineStr">
        <is>
          <t>Sales Revenue</t>
        </is>
      </c>
      <c r="C2" s="4" t="inlineStr">
        <is>
          <t>Cost of Sales</t>
        </is>
      </c>
      <c r="D2" s="4" t="inlineStr">
        <is>
          <t>Operating Expenses</t>
        </is>
      </c>
      <c r="E2" s="4" t="inlineStr">
        <is>
          <t>Net Profit Before Tax</t>
        </is>
      </c>
      <c r="F2" s="4" t="inlineStr">
        <is>
          <t>Net Margin</t>
        </is>
      </c>
    </row>
    <row r="3">
      <c r="A3" s="2" t="inlineStr">
        <is>
          <t>2026-01</t>
        </is>
      </c>
      <c r="B3" s="5">
        <f>SUMIFS(Sales!E:E,Sales!G:G,A3)</f>
        <v/>
      </c>
      <c r="C3" s="5">
        <f>SUMIFS(Expenses!F:F,Expenses!H:H,A3,Expenses!C:C,"Cost of Sales")</f>
        <v/>
      </c>
      <c r="D3" s="5">
        <f>SUMIFS(Expenses!F:F,Expenses!H:H,A3)-C3</f>
        <v/>
      </c>
      <c r="E3" s="5">
        <f>B3-C3-D3</f>
        <v/>
      </c>
      <c r="F3" s="10">
        <f>IFERROR(E3/B3,0)</f>
        <v/>
      </c>
    </row>
    <row r="4">
      <c r="A4" s="2" t="inlineStr">
        <is>
          <t>2026-02</t>
        </is>
      </c>
      <c r="B4" s="5">
        <f>SUMIFS(Sales!E:E,Sales!G:G,A4)</f>
        <v/>
      </c>
      <c r="C4" s="5">
        <f>SUMIFS(Expenses!F:F,Expenses!H:H,A4,Expenses!C:C,"Cost of Sales")</f>
        <v/>
      </c>
      <c r="D4" s="5">
        <f>SUMIFS(Expenses!F:F,Expenses!H:H,A4)-C4</f>
        <v/>
      </c>
      <c r="E4" s="5">
        <f>B4-C4-D4</f>
        <v/>
      </c>
      <c r="F4" s="10">
        <f>IFERROR(E4/B4,0)</f>
        <v/>
      </c>
    </row>
    <row r="5">
      <c r="A5" s="2" t="inlineStr">
        <is>
          <t>2026-03</t>
        </is>
      </c>
      <c r="B5" s="5">
        <f>SUMIFS(Sales!E:E,Sales!G:G,A5)</f>
        <v/>
      </c>
      <c r="C5" s="5">
        <f>SUMIFS(Expenses!F:F,Expenses!H:H,A5,Expenses!C:C,"Cost of Sales")</f>
        <v/>
      </c>
      <c r="D5" s="5">
        <f>SUMIFS(Expenses!F:F,Expenses!H:H,A5)-C5</f>
        <v/>
      </c>
      <c r="E5" s="5">
        <f>B5-C5-D5</f>
        <v/>
      </c>
      <c r="F5" s="10">
        <f>IFERROR(E5/B5,0)</f>
        <v/>
      </c>
    </row>
  </sheetData>
  <autoFilter ref="A1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2026-10-26T14:19:43Z</dcterms:created>
  <dcterms:modified xmlns:dcterms="http://purl.org/dc/terms/" xmlns:xsi="http://www.w3.org/2001/XMLSchema-instance" xsi:type="dcterms:W3CDTF">2026-10-26T14:19:55Z</dcterms:modified>
</cp:coreProperties>
</file>